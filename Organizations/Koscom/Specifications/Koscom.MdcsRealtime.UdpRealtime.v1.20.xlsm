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mc:AlternateContent xmlns:mc="http://schemas.openxmlformats.org/markup-compatibility/2006">
    <mc:Choice Requires="x15">
      <x15ac:absPath xmlns:x15ac="http://schemas.microsoft.com/office/spreadsheetml/2010/11/ac" url="D:\MyWork\00_변경업무\20260810_PDF&amp;NAV스펙변경\"/>
    </mc:Choice>
  </mc:AlternateContent>
  <bookViews>
    <workbookView xWindow="0" yWindow="0" windowWidth="15330" windowHeight="8565"/>
  </bookViews>
  <sheets>
    <sheet name="Title" sheetId="1" r:id="rId1"/>
    <sheet name="History" sheetId="2" r:id="rId2"/>
    <sheet name="Message List" sheetId="3" r:id="rId3"/>
    <sheet name="SPEC Details" sheetId="7" r:id="rId4"/>
    <sheet name="Multicast IP &amp; Port" sheetId="5" r:id="rId5"/>
    <sheet name="Data&amp;Info Type Code" sheetId="6" r:id="rId6"/>
  </sheets>
  <externalReferences>
    <externalReference r:id="rId7"/>
  </externalReferences>
  <definedNames>
    <definedName name="_C1077" localSheetId="3">'SPEC Details'!$A$666</definedName>
    <definedName name="_C1077">#REF!</definedName>
    <definedName name="_C702S" localSheetId="3">'SPEC Details'!$A$393</definedName>
    <definedName name="_C702S">#REF!</definedName>
    <definedName name="_xlnm._FilterDatabase" localSheetId="4" hidden="1">'Multicast IP &amp; Port'!$A$2:$L$20</definedName>
    <definedName name="_xlnm._FilterDatabase" localSheetId="3" hidden="1">'SPEC Details'!$A$2:$K$24</definedName>
    <definedName name="A0013_" localSheetId="3">'SPEC Details'!$A$420</definedName>
    <definedName name="A0013_">#REF!</definedName>
    <definedName name="A2013_" localSheetId="3">'SPEC Details'!$A$515</definedName>
    <definedName name="A2013_">#REF!</definedName>
    <definedName name="A3013_" localSheetId="3">'SPEC Details'!$A$539</definedName>
    <definedName name="A3013_">#REF!</definedName>
    <definedName name="A6013_" localSheetId="3">'SPEC Details'!$A$566</definedName>
    <definedName name="A6013_">#REF!</definedName>
    <definedName name="A7013_" localSheetId="3">'SPEC Details'!$A$574</definedName>
    <definedName name="A7013_">#REF!</definedName>
    <definedName name="BV03S" localSheetId="3">'SPEC Details'!$A$100</definedName>
    <definedName name="BV03S">#REF!</definedName>
    <definedName name="BW03S" localSheetId="3">'SPEC Details'!$A$108</definedName>
    <definedName name="BW03S">#REF!</definedName>
    <definedName name="CC000" localSheetId="3">'SPEC Details'!#REF!</definedName>
    <definedName name="CC000">#REF!</definedName>
    <definedName name="E2000_" localSheetId="3">'SPEC Details'!$A$255</definedName>
    <definedName name="E2000_">#REF!</definedName>
    <definedName name="E9013_" localSheetId="3">'SPEC Details'!$A$596</definedName>
    <definedName name="E9013_">#REF!</definedName>
    <definedName name="ETF_PDF_DESC" comment="ETF_PDF_개발가이드" localSheetId="3">#REF!</definedName>
    <definedName name="ETF_PDF_DESC" comment="ETF_PDF_개발가이드">#REF!</definedName>
    <definedName name="F101S" localSheetId="3">'SPEC Details'!$A$6</definedName>
    <definedName name="F101S">#REF!</definedName>
    <definedName name="F201S" localSheetId="3">'SPEC Details'!$A$18</definedName>
    <definedName name="F201S">#REF!</definedName>
    <definedName name="F301S" localSheetId="3">'SPEC Details'!$A$25</definedName>
    <definedName name="F301S">#REF!</definedName>
    <definedName name="F401S" localSheetId="3">'SPEC Details'!$A$35</definedName>
    <definedName name="F401S">#REF!</definedName>
    <definedName name="F501S" localSheetId="3">'SPEC Details'!$A$45</definedName>
    <definedName name="F501S">#REF!</definedName>
    <definedName name="F601S" localSheetId="3">'SPEC Details'!$A$54</definedName>
    <definedName name="F601S">#REF!</definedName>
    <definedName name="F803S" localSheetId="3">'SPEC Details'!$A$116</definedName>
    <definedName name="F803S">#REF!</definedName>
    <definedName name="G5013_" localSheetId="3">'SPEC Details'!$A$582</definedName>
    <definedName name="G5013_">#REF!</definedName>
    <definedName name="H8000_" localSheetId="3">'SPEC Details'!$A$877</definedName>
    <definedName name="H8000_">#REF!</definedName>
    <definedName name="H8000_D" localSheetId="3">'SPEC Details'!$A$877</definedName>
    <definedName name="H8000_D">#REF!</definedName>
    <definedName name="H8000_E" localSheetId="3">'SPEC Details'!$A$902</definedName>
    <definedName name="H8000_E">#REF!</definedName>
    <definedName name="H8000_L" localSheetId="3">'SPEC Details'!$A$889</definedName>
    <definedName name="H8000_L">#REF!</definedName>
    <definedName name="J5077_" localSheetId="3">'SPEC Details'!$A$634</definedName>
    <definedName name="J5077_">#REF!</definedName>
    <definedName name="J6077_" localSheetId="3">'SPEC Details'!$A$647</definedName>
    <definedName name="J6077_">#REF!</definedName>
    <definedName name="J7077_" localSheetId="3">'SPEC Details'!$A$680</definedName>
    <definedName name="J7077_">#REF!</definedName>
    <definedName name="J8077_HO0" localSheetId="3">'SPEC Details'!$A$749</definedName>
    <definedName name="J8077_HO0">#REF!</definedName>
    <definedName name="J8077_NH0" localSheetId="3">'SPEC Details'!$A$694</definedName>
    <definedName name="J8077_NH0">#REF!</definedName>
    <definedName name="J8077_SI0" localSheetId="3">'SPEC Details'!$A$712</definedName>
    <definedName name="J8077_SI0">#REF!</definedName>
    <definedName name="K0000_" localSheetId="3">'SPEC Details'!$A$303</definedName>
    <definedName name="K0000_">#REF!</definedName>
    <definedName name="K6000_" localSheetId="3">'SPEC Details'!$A$321</definedName>
    <definedName name="K6000_">#REF!</definedName>
    <definedName name="K7077_" localSheetId="3">'SPEC Details'!#REF!</definedName>
    <definedName name="K7077_">#REF!</definedName>
    <definedName name="L503S" localSheetId="3">'SPEC Details'!$A$215</definedName>
    <definedName name="L503S">#REF!</definedName>
    <definedName name="L6000_" localSheetId="3">'SPEC Details'!$A$339</definedName>
    <definedName name="L6000_">#REF!</definedName>
    <definedName name="L7077_" localSheetId="3">'SPEC Details'!#REF!</definedName>
    <definedName name="L7077_">#REF!</definedName>
    <definedName name="L9077_" localSheetId="3">'SPEC Details'!$A$233</definedName>
    <definedName name="L9077_">#REF!</definedName>
    <definedName name="M3000_" localSheetId="3">'SPEC Details'!#REF!</definedName>
    <definedName name="M3000_">#REF!</definedName>
    <definedName name="M803S" localSheetId="3">'SPEC Details'!$A$68</definedName>
    <definedName name="M803S">#REF!</definedName>
    <definedName name="N302S" localSheetId="3">'SPEC Details'!$A$412</definedName>
    <definedName name="N302S">#REF!</definedName>
    <definedName name="N803S" localSheetId="3">'SPEC Details'!$A$78</definedName>
    <definedName name="N803S">#REF!</definedName>
    <definedName name="O5000_" localSheetId="3">'SPEC Details'!#REF!</definedName>
    <definedName name="O5000_">#REF!</definedName>
    <definedName name="P3000_" localSheetId="3">'SPEC Details'!$A$279</definedName>
    <definedName name="P3000_">#REF!</definedName>
    <definedName name="P603S" localSheetId="3">'SPEC Details'!$A$132</definedName>
    <definedName name="P603S">#REF!</definedName>
    <definedName name="P703S" localSheetId="3">'SPEC Details'!$A$223</definedName>
    <definedName name="P703S">#REF!</definedName>
    <definedName name="PEG가격유형코드">[1]항목별참고값!$AD$2:$AD$5</definedName>
    <definedName name="_xlnm.Print_Area" localSheetId="2">'Message List'!$B$1:$V$107</definedName>
    <definedName name="_xlnm.Print_Area" localSheetId="3">'SPEC Details'!$A$1:$I$1</definedName>
    <definedName name="_xlnm.Print_Area" localSheetId="0">Title!$A$1:$M$39</definedName>
    <definedName name="_xlnm.Print_Titles" localSheetId="1">History!$1:$7</definedName>
    <definedName name="_xlnm.Print_Titles" localSheetId="3">'SPEC Details'!#REF!</definedName>
    <definedName name="Q403S" localSheetId="3">'SPEC Details'!$A$142</definedName>
    <definedName name="Q403S">#REF!</definedName>
    <definedName name="Q503S" localSheetId="3">'SPEC Details'!$A$158</definedName>
    <definedName name="Q503S">#REF!</definedName>
    <definedName name="Q6000_" localSheetId="3">'SPEC Details'!$A$375</definedName>
    <definedName name="Q6000_">#REF!</definedName>
    <definedName name="Q7077_" localSheetId="3">'SPEC Details'!#REF!</definedName>
    <definedName name="Q7077_">#REF!</definedName>
    <definedName name="REPO분류코드">[1]항목별참고값!$AQ$2:$AQ$5</definedName>
    <definedName name="Repo호가">[1]항목별참고값!$A$7</definedName>
    <definedName name="S104S" localSheetId="3">'SPEC Details'!$A$170</definedName>
    <definedName name="S104S">#REF!</definedName>
    <definedName name="S204S" localSheetId="3">'SPEC Details'!$A$186</definedName>
    <definedName name="S204S">#REF!</definedName>
    <definedName name="S304S" localSheetId="3">'SPEC Details'!$A$207</definedName>
    <definedName name="S304S">#REF!</definedName>
    <definedName name="X404S" localSheetId="3">'SPEC Details'!$A$198</definedName>
    <definedName name="X404S">#REF!</definedName>
    <definedName name="거래정지발생유형코드">[1]항목별참고값!$P$2:$P$9</definedName>
    <definedName name="계좌구분코드">[1]항목별참고값!$Y$2:$Y$20</definedName>
    <definedName name="계좌증거금유형코드">[1]항목별참고값!$AL$2:$AL$8</definedName>
    <definedName name="국가코드">[1]항목별참고값!$AM$2:$AM$5</definedName>
    <definedName name="매도매수구분코드">[1]항목별참고값!$T$2:$T$5</definedName>
    <definedName name="매도유형코드">[1]항목별참고값!$AI$2:$AI$6</definedName>
    <definedName name="보드ID">[1]항목별참고값!$D$2:$D$24</definedName>
    <definedName name="보드이벤트ID">[1]항목별참고값!$F$2:$F$69</definedName>
    <definedName name="보드이벤트장운영종류코드">[1]항목별참고값!$K$2:$K$6</definedName>
    <definedName name="보드이벤트적용군관계코드">[1]항목별참고값!$I$2:$I$4</definedName>
    <definedName name="보드이벤트종류코드">[1]항목별참고값!$J$2:$J$24</definedName>
    <definedName name="복합호가">[1]항목별참고값!$A$4</definedName>
    <definedName name="상품ID">[1]항목별참고값!$O$2:$O$100</definedName>
    <definedName name="세션ID">[1]항목별참고값!$N$2:$N$19</definedName>
    <definedName name="세션개시종료코드">[1]항목별참고값!$M$2:$M$8</definedName>
    <definedName name="수신IF유형코드">[1]항목별참고값!$S$2:$S$4</definedName>
    <definedName name="시가종가산출코드">[1]항목별참고값!$L$2:$L$4</definedName>
    <definedName name="시장ID">[1]항목별참고값!$C$2:$C$9</definedName>
    <definedName name="여부">[1]항목별참고값!$AE$2:$AE$4</definedName>
    <definedName name="외국인투자자구분코드">[1]항목별참고값!$AN$2:$AN$9</definedName>
    <definedName name="위탁자기구분코드">[1]항목별참고값!$X$2:$X$9</definedName>
    <definedName name="입력데이터종류">[1]항목별참고값!$A$2:$A$7</definedName>
    <definedName name="자동취소처리구분코드">[1]항목별참고값!$R$2:$R$5</definedName>
    <definedName name="장운영">[1]항목별참고값!$A$2</definedName>
    <definedName name="장운영상품그룹ID">[1]항목별참고값!$E$2:$E$24</definedName>
    <definedName name="정정취소구분코드">[1]항목별참고값!$U$2:$U$5</definedName>
    <definedName name="주문매체구분코드">[1]항목별참고값!$AB$2:$AB$8</definedName>
    <definedName name="채권일반호가">[1]항목별참고값!$A$5</definedName>
    <definedName name="채권조성호가">[1]항목별참고값!$A$6</definedName>
    <definedName name="채권호가종류코드">[1]항목별참고값!$AC$2:$AC$4</definedName>
    <definedName name="테이블목록범위" localSheetId="5">#REF!</definedName>
    <definedName name="테이블목록범위" localSheetId="4">#REF!</definedName>
    <definedName name="테이블목록범위" localSheetId="3">#REF!</definedName>
    <definedName name="테이블목록범위" localSheetId="0">#REF!</definedName>
    <definedName name="테이블목록범위">#REF!</definedName>
    <definedName name="테이블목록범위2" localSheetId="3">#REF!</definedName>
    <definedName name="테이블목록범위2">#REF!</definedName>
    <definedName name="투자자구분코드">[1]항목별참고값!$Z$2:$Z$12</definedName>
    <definedName name="프로그램호가신고구분코드">[1]항목별참고값!$AO$2:$AO$5</definedName>
    <definedName name="호가">[1]항목별참고값!$A$3</definedName>
    <definedName name="호가유형코드">[1]항목별참고값!$V$2:$V$12</definedName>
    <definedName name="호가일자">[1]항목별참고값!$AA$2</definedName>
    <definedName name="호가조건코드">[1]항목별참고값!$W$2:$W$10</definedName>
    <definedName name="효력정지재개구분코드">[1]항목별참고값!$AP$2:$AP$7</definedName>
  </definedNames>
  <calcPr calcId="162913"/>
</workbook>
</file>

<file path=xl/calcChain.xml><?xml version="1.0" encoding="utf-8"?>
<calcChain xmlns="http://schemas.openxmlformats.org/spreadsheetml/2006/main">
  <c r="H1217" i="7" l="1"/>
  <c r="H1218" i="7" s="1"/>
  <c r="H1219" i="7" s="1"/>
  <c r="H1220" i="7" s="1"/>
  <c r="H1221" i="7" s="1"/>
  <c r="H1222" i="7" s="1"/>
  <c r="H1223" i="7" s="1"/>
  <c r="H1224" i="7" s="1"/>
  <c r="H1203" i="7"/>
  <c r="H1204" i="7" s="1"/>
  <c r="H1205" i="7" s="1"/>
  <c r="H1206" i="7" s="1"/>
  <c r="H1207" i="7" s="1"/>
  <c r="H1208" i="7" s="1"/>
  <c r="H1209" i="7" s="1"/>
  <c r="H1210" i="7" s="1"/>
  <c r="H1211" i="7" s="1"/>
  <c r="H1212" i="7" s="1"/>
  <c r="H1213" i="7" s="1"/>
  <c r="H1214" i="7" s="1"/>
  <c r="H1215" i="7" s="1"/>
  <c r="H1216" i="7" s="1"/>
  <c r="H993" i="7"/>
  <c r="H994" i="7" s="1"/>
  <c r="H995" i="7" s="1"/>
  <c r="H996" i="7" s="1"/>
  <c r="H997" i="7" s="1"/>
  <c r="H998" i="7" s="1"/>
  <c r="H999" i="7" s="1"/>
  <c r="H1000" i="7" s="1"/>
  <c r="H1001" i="7" s="1"/>
  <c r="H1002" i="7" s="1"/>
  <c r="H1003" i="7" s="1"/>
  <c r="H970" i="7"/>
  <c r="H971" i="7" s="1"/>
  <c r="H972" i="7" s="1"/>
  <c r="H973" i="7" s="1"/>
  <c r="H974" i="7" s="1"/>
  <c r="H975" i="7" s="1"/>
  <c r="H976" i="7" s="1"/>
  <c r="H977" i="7" s="1"/>
  <c r="H978" i="7" s="1"/>
  <c r="H979" i="7" s="1"/>
  <c r="H980" i="7" s="1"/>
  <c r="H981" i="7" s="1"/>
  <c r="H948" i="7"/>
  <c r="H949" i="7" s="1"/>
  <c r="H950" i="7" s="1"/>
  <c r="H951" i="7" s="1"/>
  <c r="H952" i="7" s="1"/>
  <c r="H953" i="7" s="1"/>
  <c r="H954" i="7" s="1"/>
  <c r="H955" i="7" s="1"/>
  <c r="H956" i="7" s="1"/>
  <c r="H957" i="7" s="1"/>
  <c r="B95" i="3"/>
  <c r="B99" i="3"/>
  <c r="B102" i="3"/>
  <c r="B101" i="3"/>
  <c r="B92" i="3"/>
  <c r="B85" i="3"/>
  <c r="B94" i="3"/>
  <c r="B96" i="3"/>
  <c r="B103" i="3"/>
  <c r="B88" i="3"/>
  <c r="B104" i="3"/>
  <c r="B86" i="3"/>
  <c r="B82" i="3"/>
  <c r="B100" i="3"/>
  <c r="B83" i="3"/>
  <c r="B87" i="3"/>
  <c r="B91" i="3"/>
  <c r="B97" i="3"/>
  <c r="B90" i="3"/>
  <c r="B81" i="3"/>
  <c r="B106" i="3"/>
  <c r="B89" i="3"/>
  <c r="B93" i="3"/>
  <c r="B105" i="3"/>
  <c r="B107" i="3"/>
  <c r="B84" i="3"/>
  <c r="B98" i="3"/>
  <c r="H918" i="7" l="1"/>
  <c r="H919" i="7" s="1"/>
  <c r="H920" i="7" s="1"/>
  <c r="H921" i="7" s="1"/>
  <c r="H922" i="7" s="1"/>
  <c r="H923" i="7" s="1"/>
  <c r="H358" i="7" l="1"/>
  <c r="H359" i="7" s="1"/>
  <c r="H360" i="7" s="1"/>
  <c r="H361" i="7" s="1"/>
  <c r="H362" i="7" s="1"/>
  <c r="H363" i="7" s="1"/>
  <c r="H364" i="7" s="1"/>
  <c r="H365" i="7" s="1"/>
  <c r="H366" i="7" s="1"/>
  <c r="H367" i="7" s="1"/>
  <c r="H368" i="7" s="1"/>
  <c r="H369" i="7" s="1"/>
  <c r="H370" i="7" s="1"/>
  <c r="H371" i="7" s="1"/>
  <c r="H372" i="7" s="1"/>
  <c r="H373" i="7" s="1"/>
  <c r="H374" i="7" s="1"/>
  <c r="A58" i="3"/>
  <c r="B33" i="3"/>
  <c r="B58" i="3"/>
  <c r="H616" i="7" l="1"/>
  <c r="H617" i="7" s="1"/>
  <c r="H618" i="7" s="1"/>
  <c r="H619" i="7" s="1"/>
  <c r="H620" i="7" s="1"/>
  <c r="H621" i="7" s="1"/>
  <c r="H622" i="7" s="1"/>
  <c r="H623" i="7" s="1"/>
  <c r="H624" i="7" s="1"/>
  <c r="H625" i="7" s="1"/>
  <c r="H626" i="7" s="1"/>
  <c r="H627" i="7" s="1"/>
  <c r="H628" i="7" s="1"/>
  <c r="H629" i="7" s="1"/>
  <c r="H630" i="7" s="1"/>
  <c r="H631" i="7" s="1"/>
  <c r="H632" i="7" s="1"/>
  <c r="H633" i="7" s="1"/>
  <c r="H292" i="7"/>
  <c r="H293" i="7" s="1"/>
  <c r="H294" i="7" s="1"/>
  <c r="H295" i="7" s="1"/>
  <c r="H296" i="7" s="1"/>
  <c r="H297" i="7" s="1"/>
  <c r="H298" i="7" s="1"/>
  <c r="H299" i="7" s="1"/>
  <c r="H300" i="7" s="1"/>
  <c r="H301" i="7" s="1"/>
  <c r="H302" i="7" s="1"/>
  <c r="A52" i="3"/>
  <c r="B52" i="3"/>
  <c r="B53" i="3"/>
  <c r="H903" i="7" l="1"/>
  <c r="H904" i="7" s="1"/>
  <c r="H905" i="7" s="1"/>
  <c r="H906" i="7" s="1"/>
  <c r="H907" i="7" s="1"/>
  <c r="H908" i="7" s="1"/>
  <c r="H909" i="7" s="1"/>
  <c r="H910" i="7" s="1"/>
  <c r="H911" i="7" s="1"/>
  <c r="H912" i="7" s="1"/>
  <c r="H913" i="7" s="1"/>
  <c r="H914" i="7" s="1"/>
  <c r="H915" i="7" s="1"/>
  <c r="H916" i="7" s="1"/>
  <c r="H890" i="7"/>
  <c r="H891" i="7" s="1"/>
  <c r="H892" i="7" s="1"/>
  <c r="H893" i="7" s="1"/>
  <c r="H894" i="7" s="1"/>
  <c r="H895" i="7" s="1"/>
  <c r="H896" i="7" s="1"/>
  <c r="H897" i="7" s="1"/>
  <c r="H898" i="7" s="1"/>
  <c r="H899" i="7" s="1"/>
  <c r="H900" i="7" s="1"/>
  <c r="H901" i="7" s="1"/>
  <c r="H878" i="7"/>
  <c r="H879" i="7" s="1"/>
  <c r="H880" i="7" s="1"/>
  <c r="H881" i="7" s="1"/>
  <c r="H882" i="7" s="1"/>
  <c r="H883" i="7" s="1"/>
  <c r="H884" i="7" s="1"/>
  <c r="H885" i="7" s="1"/>
  <c r="H886" i="7" s="1"/>
  <c r="H887" i="7" s="1"/>
  <c r="H888" i="7" s="1"/>
  <c r="H866" i="7"/>
  <c r="H867" i="7" s="1"/>
  <c r="H868" i="7" s="1"/>
  <c r="H869" i="7" s="1"/>
  <c r="H870" i="7" s="1"/>
  <c r="H871" i="7" s="1"/>
  <c r="H872" i="7" s="1"/>
  <c r="H873" i="7" s="1"/>
  <c r="H874" i="7" s="1"/>
  <c r="H875" i="7" s="1"/>
  <c r="H876" i="7" s="1"/>
  <c r="H854" i="7"/>
  <c r="H855" i="7" s="1"/>
  <c r="H856" i="7" s="1"/>
  <c r="H857" i="7" s="1"/>
  <c r="H858" i="7" s="1"/>
  <c r="H859" i="7" s="1"/>
  <c r="H860" i="7" s="1"/>
  <c r="H861" i="7" s="1"/>
  <c r="H862" i="7" s="1"/>
  <c r="H863" i="7" s="1"/>
  <c r="H864" i="7" s="1"/>
  <c r="H827" i="7"/>
  <c r="H828" i="7" s="1"/>
  <c r="H829" i="7" s="1"/>
  <c r="H830" i="7" s="1"/>
  <c r="H831" i="7" s="1"/>
  <c r="H832" i="7" s="1"/>
  <c r="H833" i="7" s="1"/>
  <c r="H834" i="7" s="1"/>
  <c r="H835" i="7" s="1"/>
  <c r="H836" i="7" s="1"/>
  <c r="H837" i="7" s="1"/>
  <c r="H838" i="7" s="1"/>
  <c r="H839" i="7" s="1"/>
  <c r="H840" i="7" s="1"/>
  <c r="H841" i="7" s="1"/>
  <c r="H842" i="7" s="1"/>
  <c r="H843" i="7" s="1"/>
  <c r="H844" i="7" s="1"/>
  <c r="H845" i="7" s="1"/>
  <c r="H846" i="7" s="1"/>
  <c r="H847" i="7" s="1"/>
  <c r="H848" i="7" s="1"/>
  <c r="H849" i="7" s="1"/>
  <c r="H850" i="7" s="1"/>
  <c r="H851" i="7" s="1"/>
  <c r="H852" i="7" s="1"/>
  <c r="H797" i="7"/>
  <c r="H798" i="7" s="1"/>
  <c r="H799" i="7" s="1"/>
  <c r="H800" i="7" s="1"/>
  <c r="H801" i="7" s="1"/>
  <c r="H802" i="7" s="1"/>
  <c r="H803" i="7" s="1"/>
  <c r="H804" i="7" s="1"/>
  <c r="H805" i="7" s="1"/>
  <c r="H806" i="7" s="1"/>
  <c r="H807" i="7" s="1"/>
  <c r="H808" i="7" s="1"/>
  <c r="H809" i="7" s="1"/>
  <c r="H810" i="7" s="1"/>
  <c r="H811" i="7" s="1"/>
  <c r="H812" i="7" s="1"/>
  <c r="H813" i="7" s="1"/>
  <c r="H814" i="7" s="1"/>
  <c r="H815" i="7" s="1"/>
  <c r="H816" i="7" s="1"/>
  <c r="H817" i="7" s="1"/>
  <c r="H818" i="7" s="1"/>
  <c r="H819" i="7" s="1"/>
  <c r="H820" i="7" s="1"/>
  <c r="H821" i="7" s="1"/>
  <c r="H822" i="7" s="1"/>
  <c r="H823" i="7" s="1"/>
  <c r="H824" i="7" s="1"/>
  <c r="H825" i="7" s="1"/>
  <c r="H750" i="7"/>
  <c r="H751" i="7" s="1"/>
  <c r="H752" i="7" s="1"/>
  <c r="H753" i="7" s="1"/>
  <c r="H754" i="7" s="1"/>
  <c r="H755" i="7" s="1"/>
  <c r="H756" i="7" s="1"/>
  <c r="H757" i="7" s="1"/>
  <c r="H758" i="7" s="1"/>
  <c r="H759" i="7" s="1"/>
  <c r="H760" i="7" s="1"/>
  <c r="H761" i="7" s="1"/>
  <c r="H762" i="7" s="1"/>
  <c r="H763" i="7" s="1"/>
  <c r="H764" i="7" s="1"/>
  <c r="H765" i="7" s="1"/>
  <c r="H766" i="7" s="1"/>
  <c r="H767" i="7" s="1"/>
  <c r="H768" i="7" s="1"/>
  <c r="H769" i="7" s="1"/>
  <c r="H770" i="7" s="1"/>
  <c r="H771" i="7" s="1"/>
  <c r="H772" i="7" s="1"/>
  <c r="H773" i="7" s="1"/>
  <c r="H774" i="7" s="1"/>
  <c r="H775" i="7" s="1"/>
  <c r="H776" i="7" s="1"/>
  <c r="H777" i="7" s="1"/>
  <c r="H778" i="7" s="1"/>
  <c r="H779" i="7" s="1"/>
  <c r="H780" i="7" s="1"/>
  <c r="H781" i="7" s="1"/>
  <c r="H782" i="7" s="1"/>
  <c r="H783" i="7" s="1"/>
  <c r="H784" i="7" s="1"/>
  <c r="H785" i="7" s="1"/>
  <c r="H786" i="7" s="1"/>
  <c r="H787" i="7" s="1"/>
  <c r="H788" i="7" s="1"/>
  <c r="H789" i="7" s="1"/>
  <c r="H790" i="7" s="1"/>
  <c r="H791" i="7" s="1"/>
  <c r="H792" i="7" s="1"/>
  <c r="H793" i="7" s="1"/>
  <c r="H794" i="7" s="1"/>
  <c r="H795" i="7" s="1"/>
  <c r="H713" i="7"/>
  <c r="H714" i="7" s="1"/>
  <c r="H715" i="7" s="1"/>
  <c r="H716" i="7" s="1"/>
  <c r="H717" i="7" s="1"/>
  <c r="H718" i="7" s="1"/>
  <c r="H719" i="7" s="1"/>
  <c r="H720" i="7" s="1"/>
  <c r="H721" i="7" s="1"/>
  <c r="H722" i="7" s="1"/>
  <c r="H723" i="7" s="1"/>
  <c r="H724" i="7" s="1"/>
  <c r="H725" i="7" s="1"/>
  <c r="H726" i="7" s="1"/>
  <c r="H727" i="7" s="1"/>
  <c r="H728" i="7" s="1"/>
  <c r="H729" i="7" s="1"/>
  <c r="H730" i="7" s="1"/>
  <c r="H731" i="7" s="1"/>
  <c r="H732" i="7" s="1"/>
  <c r="H733" i="7" s="1"/>
  <c r="H734" i="7" s="1"/>
  <c r="H735" i="7" s="1"/>
  <c r="H736" i="7" s="1"/>
  <c r="H737" i="7" s="1"/>
  <c r="H738" i="7" s="1"/>
  <c r="H739" i="7" s="1"/>
  <c r="H740" i="7" s="1"/>
  <c r="H741" i="7" s="1"/>
  <c r="H742" i="7" s="1"/>
  <c r="H743" i="7" s="1"/>
  <c r="H744" i="7" s="1"/>
  <c r="H745" i="7" s="1"/>
  <c r="H746" i="7" s="1"/>
  <c r="H747" i="7" s="1"/>
  <c r="H748" i="7" s="1"/>
  <c r="H695" i="7"/>
  <c r="H696" i="7" s="1"/>
  <c r="H697" i="7" s="1"/>
  <c r="H698" i="7" s="1"/>
  <c r="H699" i="7" s="1"/>
  <c r="H700" i="7" s="1"/>
  <c r="H701" i="7" s="1"/>
  <c r="H702" i="7" s="1"/>
  <c r="H703" i="7" s="1"/>
  <c r="H704" i="7" s="1"/>
  <c r="H705" i="7" s="1"/>
  <c r="H706" i="7" s="1"/>
  <c r="H707" i="7" s="1"/>
  <c r="H708" i="7" s="1"/>
  <c r="H709" i="7" s="1"/>
  <c r="H710" i="7" s="1"/>
  <c r="H711" i="7" s="1"/>
  <c r="H681" i="7"/>
  <c r="H682" i="7" s="1"/>
  <c r="H683" i="7" s="1"/>
  <c r="H684" i="7" s="1"/>
  <c r="H685" i="7" s="1"/>
  <c r="H686" i="7" s="1"/>
  <c r="H687" i="7" s="1"/>
  <c r="H688" i="7" s="1"/>
  <c r="H689" i="7" s="1"/>
  <c r="H690" i="7" s="1"/>
  <c r="H691" i="7" s="1"/>
  <c r="H692" i="7" s="1"/>
  <c r="H693" i="7" s="1"/>
  <c r="H667" i="7"/>
  <c r="H668" i="7" s="1"/>
  <c r="H669" i="7" s="1"/>
  <c r="H670" i="7" s="1"/>
  <c r="H671" i="7" s="1"/>
  <c r="H672" i="7" s="1"/>
  <c r="H673" i="7" s="1"/>
  <c r="H674" i="7" s="1"/>
  <c r="H675" i="7" s="1"/>
  <c r="H676" i="7" s="1"/>
  <c r="H677" i="7" s="1"/>
  <c r="H678" i="7" s="1"/>
  <c r="H679" i="7" s="1"/>
  <c r="H648" i="7"/>
  <c r="H649" i="7" s="1"/>
  <c r="H650" i="7" s="1"/>
  <c r="H651" i="7" s="1"/>
  <c r="H652" i="7" s="1"/>
  <c r="H653" i="7" s="1"/>
  <c r="H654" i="7" s="1"/>
  <c r="H655" i="7" s="1"/>
  <c r="H656" i="7" s="1"/>
  <c r="H657" i="7" s="1"/>
  <c r="H658" i="7" s="1"/>
  <c r="H659" i="7" s="1"/>
  <c r="H660" i="7" s="1"/>
  <c r="H661" i="7" s="1"/>
  <c r="H662" i="7" s="1"/>
  <c r="H663" i="7" s="1"/>
  <c r="H664" i="7" s="1"/>
  <c r="H665" i="7" s="1"/>
  <c r="H635" i="7"/>
  <c r="H636" i="7" s="1"/>
  <c r="H637" i="7" s="1"/>
  <c r="H638" i="7" s="1"/>
  <c r="H639" i="7" s="1"/>
  <c r="H640" i="7" s="1"/>
  <c r="H641" i="7" s="1"/>
  <c r="H642" i="7" s="1"/>
  <c r="H643" i="7" s="1"/>
  <c r="H644" i="7" s="1"/>
  <c r="H645" i="7" s="1"/>
  <c r="H646" i="7" s="1"/>
  <c r="H597" i="7"/>
  <c r="H598" i="7" s="1"/>
  <c r="H599" i="7" s="1"/>
  <c r="H600" i="7" s="1"/>
  <c r="H601" i="7" s="1"/>
  <c r="H602" i="7" s="1"/>
  <c r="H603" i="7" s="1"/>
  <c r="H604" i="7" s="1"/>
  <c r="H605" i="7" s="1"/>
  <c r="H606" i="7" s="1"/>
  <c r="H607" i="7" s="1"/>
  <c r="H608" i="7" s="1"/>
  <c r="H609" i="7" s="1"/>
  <c r="H610" i="7" s="1"/>
  <c r="H611" i="7" s="1"/>
  <c r="H612" i="7" s="1"/>
  <c r="H613" i="7" s="1"/>
  <c r="H614" i="7" s="1"/>
  <c r="H583" i="7"/>
  <c r="H584" i="7" s="1"/>
  <c r="H585" i="7" s="1"/>
  <c r="H586" i="7" s="1"/>
  <c r="H587" i="7" s="1"/>
  <c r="H588" i="7" s="1"/>
  <c r="H589" i="7" s="1"/>
  <c r="H590" i="7" s="1"/>
  <c r="H591" i="7" s="1"/>
  <c r="H592" i="7" s="1"/>
  <c r="H593" i="7" s="1"/>
  <c r="H594" i="7" s="1"/>
  <c r="H595" i="7" s="1"/>
  <c r="H575" i="7"/>
  <c r="H576" i="7" s="1"/>
  <c r="H577" i="7" s="1"/>
  <c r="H578" i="7" s="1"/>
  <c r="H579" i="7" s="1"/>
  <c r="H580" i="7" s="1"/>
  <c r="H581" i="7" s="1"/>
  <c r="H567" i="7"/>
  <c r="H568" i="7" s="1"/>
  <c r="H569" i="7" s="1"/>
  <c r="H570" i="7" s="1"/>
  <c r="H571" i="7" s="1"/>
  <c r="H572" i="7" s="1"/>
  <c r="H573" i="7" s="1"/>
  <c r="H540" i="7"/>
  <c r="H541" i="7" s="1"/>
  <c r="H542" i="7" s="1"/>
  <c r="H543" i="7" s="1"/>
  <c r="H544" i="7" s="1"/>
  <c r="H545" i="7" s="1"/>
  <c r="H546" i="7" s="1"/>
  <c r="H547" i="7" s="1"/>
  <c r="H548" i="7" s="1"/>
  <c r="H549" i="7" s="1"/>
  <c r="H550" i="7" s="1"/>
  <c r="H551" i="7" s="1"/>
  <c r="H552" i="7" s="1"/>
  <c r="H553" i="7" s="1"/>
  <c r="H554" i="7" s="1"/>
  <c r="H555" i="7" s="1"/>
  <c r="H556" i="7" s="1"/>
  <c r="H557" i="7" s="1"/>
  <c r="H558" i="7" s="1"/>
  <c r="H559" i="7" s="1"/>
  <c r="H560" i="7" s="1"/>
  <c r="H561" i="7" s="1"/>
  <c r="H562" i="7" s="1"/>
  <c r="H563" i="7" s="1"/>
  <c r="H564" i="7" s="1"/>
  <c r="H565" i="7" s="1"/>
  <c r="H516" i="7"/>
  <c r="H517" i="7" s="1"/>
  <c r="H518" i="7" s="1"/>
  <c r="H519" i="7" s="1"/>
  <c r="H520" i="7" s="1"/>
  <c r="H521" i="7" s="1"/>
  <c r="H522" i="7" s="1"/>
  <c r="H523" i="7" s="1"/>
  <c r="H524" i="7" s="1"/>
  <c r="H525" i="7" s="1"/>
  <c r="H526" i="7" s="1"/>
  <c r="H527" i="7" s="1"/>
  <c r="H528" i="7" s="1"/>
  <c r="H529" i="7" s="1"/>
  <c r="H530" i="7" s="1"/>
  <c r="H531" i="7" s="1"/>
  <c r="H532" i="7" s="1"/>
  <c r="H533" i="7" s="1"/>
  <c r="H534" i="7" s="1"/>
  <c r="H535" i="7" s="1"/>
  <c r="H536" i="7" s="1"/>
  <c r="H537" i="7" s="1"/>
  <c r="H538" i="7" s="1"/>
  <c r="H421" i="7"/>
  <c r="H422" i="7" s="1"/>
  <c r="H423" i="7" s="1"/>
  <c r="H424" i="7" s="1"/>
  <c r="H425" i="7" s="1"/>
  <c r="H426" i="7" s="1"/>
  <c r="H427" i="7" s="1"/>
  <c r="H428" i="7" s="1"/>
  <c r="H429" i="7" s="1"/>
  <c r="H430" i="7" s="1"/>
  <c r="H431" i="7" s="1"/>
  <c r="H432" i="7" s="1"/>
  <c r="H433" i="7" s="1"/>
  <c r="H434" i="7" s="1"/>
  <c r="H435" i="7" s="1"/>
  <c r="H436" i="7" s="1"/>
  <c r="H437" i="7" s="1"/>
  <c r="H438" i="7" s="1"/>
  <c r="H439" i="7" s="1"/>
  <c r="H440" i="7" s="1"/>
  <c r="H441" i="7" s="1"/>
  <c r="H442" i="7" s="1"/>
  <c r="H443" i="7" s="1"/>
  <c r="H444" i="7" s="1"/>
  <c r="H445" i="7" s="1"/>
  <c r="H446" i="7" s="1"/>
  <c r="H447" i="7" s="1"/>
  <c r="H448" i="7" s="1"/>
  <c r="H449" i="7" s="1"/>
  <c r="H450" i="7" s="1"/>
  <c r="H451" i="7" s="1"/>
  <c r="H452" i="7" s="1"/>
  <c r="H453" i="7" s="1"/>
  <c r="H454" i="7" s="1"/>
  <c r="H455" i="7" s="1"/>
  <c r="H456" i="7" s="1"/>
  <c r="H457" i="7" s="1"/>
  <c r="H458" i="7" s="1"/>
  <c r="H459" i="7" s="1"/>
  <c r="H460" i="7" s="1"/>
  <c r="H461" i="7" s="1"/>
  <c r="H462" i="7" s="1"/>
  <c r="H463" i="7" s="1"/>
  <c r="H464" i="7" s="1"/>
  <c r="H465" i="7" s="1"/>
  <c r="H466" i="7" s="1"/>
  <c r="H467" i="7" s="1"/>
  <c r="H468" i="7" s="1"/>
  <c r="H469" i="7" s="1"/>
  <c r="H470" i="7" s="1"/>
  <c r="H471" i="7" s="1"/>
  <c r="H472" i="7" s="1"/>
  <c r="H473" i="7" s="1"/>
  <c r="H474" i="7" s="1"/>
  <c r="H475" i="7" s="1"/>
  <c r="H476" i="7" s="1"/>
  <c r="H477" i="7" s="1"/>
  <c r="H478" i="7" s="1"/>
  <c r="H479" i="7" s="1"/>
  <c r="H480" i="7" s="1"/>
  <c r="H481" i="7" s="1"/>
  <c r="H482" i="7" s="1"/>
  <c r="H483" i="7" s="1"/>
  <c r="H484" i="7" s="1"/>
  <c r="H485" i="7" s="1"/>
  <c r="H486" i="7" s="1"/>
  <c r="H487" i="7" s="1"/>
  <c r="H488" i="7" s="1"/>
  <c r="H489" i="7" s="1"/>
  <c r="H490" i="7" s="1"/>
  <c r="H491" i="7" s="1"/>
  <c r="H492" i="7" s="1"/>
  <c r="H493" i="7" s="1"/>
  <c r="H494" i="7" s="1"/>
  <c r="H495" i="7" s="1"/>
  <c r="H496" i="7" s="1"/>
  <c r="H497" i="7" s="1"/>
  <c r="H498" i="7" s="1"/>
  <c r="H499" i="7" s="1"/>
  <c r="H500" i="7" s="1"/>
  <c r="H501" i="7" s="1"/>
  <c r="H502" i="7" s="1"/>
  <c r="H503" i="7" s="1"/>
  <c r="H504" i="7" s="1"/>
  <c r="H505" i="7" s="1"/>
  <c r="H506" i="7" s="1"/>
  <c r="H507" i="7" s="1"/>
  <c r="H508" i="7" s="1"/>
  <c r="H509" i="7" s="1"/>
  <c r="H510" i="7" s="1"/>
  <c r="H511" i="7" s="1"/>
  <c r="H512" i="7" s="1"/>
  <c r="H513" i="7" s="1"/>
  <c r="H514" i="7" s="1"/>
  <c r="H413" i="7"/>
  <c r="H414" i="7" s="1"/>
  <c r="H415" i="7" s="1"/>
  <c r="H418" i="7" s="1"/>
  <c r="H419" i="7" s="1"/>
  <c r="H394" i="7"/>
  <c r="H395" i="7" s="1"/>
  <c r="H396" i="7" s="1"/>
  <c r="H397" i="7" s="1"/>
  <c r="H398" i="7" s="1"/>
  <c r="H399" i="7" s="1"/>
  <c r="H400" i="7" s="1"/>
  <c r="H401" i="7" s="1"/>
  <c r="H402" i="7" s="1"/>
  <c r="H403" i="7" s="1"/>
  <c r="H404" i="7" s="1"/>
  <c r="H405" i="7" s="1"/>
  <c r="H406" i="7" s="1"/>
  <c r="H407" i="7" s="1"/>
  <c r="H408" i="7" s="1"/>
  <c r="H409" i="7" s="1"/>
  <c r="H410" i="7" s="1"/>
  <c r="H411" i="7" s="1"/>
  <c r="H376" i="7"/>
  <c r="H377" i="7" s="1"/>
  <c r="H378" i="7" s="1"/>
  <c r="H379" i="7" s="1"/>
  <c r="H380" i="7" s="1"/>
  <c r="H381" i="7" s="1"/>
  <c r="H382" i="7" s="1"/>
  <c r="H383" i="7" s="1"/>
  <c r="H384" i="7" s="1"/>
  <c r="H385" i="7" s="1"/>
  <c r="H386" i="7" s="1"/>
  <c r="H387" i="7" s="1"/>
  <c r="H388" i="7" s="1"/>
  <c r="H389" i="7" s="1"/>
  <c r="H390" i="7" s="1"/>
  <c r="H391" i="7" s="1"/>
  <c r="H392" i="7" s="1"/>
  <c r="H340" i="7"/>
  <c r="H341" i="7" s="1"/>
  <c r="H342" i="7" s="1"/>
  <c r="H343" i="7" s="1"/>
  <c r="H344" i="7" s="1"/>
  <c r="H345" i="7" s="1"/>
  <c r="H346" i="7" s="1"/>
  <c r="H347" i="7" s="1"/>
  <c r="H348" i="7" s="1"/>
  <c r="H349" i="7" s="1"/>
  <c r="H350" i="7" s="1"/>
  <c r="H351" i="7" s="1"/>
  <c r="H352" i="7" s="1"/>
  <c r="H353" i="7" s="1"/>
  <c r="H354" i="7" s="1"/>
  <c r="H355" i="7" s="1"/>
  <c r="H356" i="7" s="1"/>
  <c r="H322" i="7"/>
  <c r="H323" i="7" s="1"/>
  <c r="H324" i="7" s="1"/>
  <c r="H325" i="7" s="1"/>
  <c r="H326" i="7" s="1"/>
  <c r="H327" i="7" s="1"/>
  <c r="H328" i="7" s="1"/>
  <c r="H329" i="7" s="1"/>
  <c r="H330" i="7" s="1"/>
  <c r="H331" i="7" s="1"/>
  <c r="H332" i="7" s="1"/>
  <c r="H333" i="7" s="1"/>
  <c r="H334" i="7" s="1"/>
  <c r="H335" i="7" s="1"/>
  <c r="H336" i="7" s="1"/>
  <c r="H337" i="7" s="1"/>
  <c r="H338" i="7" s="1"/>
  <c r="H304" i="7"/>
  <c r="H305" i="7" s="1"/>
  <c r="H306" i="7" s="1"/>
  <c r="H307" i="7" s="1"/>
  <c r="H308" i="7" s="1"/>
  <c r="H309" i="7" s="1"/>
  <c r="H310" i="7" s="1"/>
  <c r="H311" i="7" s="1"/>
  <c r="H312" i="7" s="1"/>
  <c r="H313" i="7" s="1"/>
  <c r="H314" i="7" s="1"/>
  <c r="H315" i="7" s="1"/>
  <c r="H316" i="7" s="1"/>
  <c r="H317" i="7" s="1"/>
  <c r="H318" i="7" s="1"/>
  <c r="H319" i="7" s="1"/>
  <c r="H320" i="7" s="1"/>
  <c r="H280" i="7"/>
  <c r="H281" i="7" s="1"/>
  <c r="H282" i="7" s="1"/>
  <c r="H283" i="7" s="1"/>
  <c r="H284" i="7" s="1"/>
  <c r="H285" i="7" s="1"/>
  <c r="H286" i="7" s="1"/>
  <c r="H287" i="7" s="1"/>
  <c r="H288" i="7" s="1"/>
  <c r="H289" i="7" s="1"/>
  <c r="H290" i="7" s="1"/>
  <c r="H268" i="7"/>
  <c r="H269" i="7" s="1"/>
  <c r="H270" i="7" s="1"/>
  <c r="H271" i="7" s="1"/>
  <c r="H272" i="7" s="1"/>
  <c r="H273" i="7" s="1"/>
  <c r="H274" i="7" s="1"/>
  <c r="H275" i="7" s="1"/>
  <c r="H276" i="7" s="1"/>
  <c r="H277" i="7" s="1"/>
  <c r="H278" i="7" s="1"/>
  <c r="H256" i="7"/>
  <c r="H257" i="7" s="1"/>
  <c r="H258" i="7" s="1"/>
  <c r="H259" i="7" s="1"/>
  <c r="H260" i="7" s="1"/>
  <c r="H261" i="7" s="1"/>
  <c r="H262" i="7" s="1"/>
  <c r="H263" i="7" s="1"/>
  <c r="H264" i="7" s="1"/>
  <c r="H265" i="7" s="1"/>
  <c r="H266" i="7" s="1"/>
  <c r="H234" i="7"/>
  <c r="H235" i="7" s="1"/>
  <c r="H236" i="7" s="1"/>
  <c r="H237" i="7" s="1"/>
  <c r="H238" i="7" s="1"/>
  <c r="H239" i="7" s="1"/>
  <c r="H240" i="7" s="1"/>
  <c r="H241" i="7" s="1"/>
  <c r="H242" i="7" s="1"/>
  <c r="H243" i="7" s="1"/>
  <c r="H244" i="7" s="1"/>
  <c r="H245" i="7" s="1"/>
  <c r="H246" i="7" s="1"/>
  <c r="H247" i="7" s="1"/>
  <c r="H248" i="7" s="1"/>
  <c r="H249" i="7" s="1"/>
  <c r="H250" i="7" s="1"/>
  <c r="H251" i="7" s="1"/>
  <c r="H252" i="7" s="1"/>
  <c r="H253" i="7" s="1"/>
  <c r="H254" i="7" s="1"/>
  <c r="H224" i="7"/>
  <c r="H225" i="7" s="1"/>
  <c r="H226" i="7" s="1"/>
  <c r="H227" i="7" s="1"/>
  <c r="H228" i="7" s="1"/>
  <c r="H229" i="7" s="1"/>
  <c r="H230" i="7" s="1"/>
  <c r="H231" i="7" s="1"/>
  <c r="H232" i="7" s="1"/>
  <c r="H216" i="7"/>
  <c r="H217" i="7" s="1"/>
  <c r="H218" i="7" s="1"/>
  <c r="H219" i="7" s="1"/>
  <c r="H220" i="7" s="1"/>
  <c r="H221" i="7" s="1"/>
  <c r="H222" i="7" s="1"/>
  <c r="H208" i="7"/>
  <c r="H209" i="7" s="1"/>
  <c r="H210" i="7" s="1"/>
  <c r="H211" i="7" s="1"/>
  <c r="H212" i="7" s="1"/>
  <c r="H213" i="7" s="1"/>
  <c r="H214" i="7" s="1"/>
  <c r="H199" i="7"/>
  <c r="H200" i="7" s="1"/>
  <c r="H201" i="7" s="1"/>
  <c r="H202" i="7" s="1"/>
  <c r="H203" i="7" s="1"/>
  <c r="H204" i="7" s="1"/>
  <c r="H205" i="7" s="1"/>
  <c r="H206" i="7" s="1"/>
  <c r="H187" i="7"/>
  <c r="H188" i="7" s="1"/>
  <c r="H189" i="7" s="1"/>
  <c r="H190" i="7" s="1"/>
  <c r="H191" i="7" s="1"/>
  <c r="H192" i="7" s="1"/>
  <c r="H193" i="7" s="1"/>
  <c r="H194" i="7" s="1"/>
  <c r="H195" i="7" s="1"/>
  <c r="H196" i="7" s="1"/>
  <c r="H197" i="7" s="1"/>
  <c r="H171" i="7"/>
  <c r="H172" i="7" s="1"/>
  <c r="H173" i="7" s="1"/>
  <c r="H174" i="7" s="1"/>
  <c r="H175" i="7" s="1"/>
  <c r="H176" i="7" s="1"/>
  <c r="H177" i="7" s="1"/>
  <c r="H178" i="7" s="1"/>
  <c r="H179" i="7" s="1"/>
  <c r="H180" i="7" s="1"/>
  <c r="H181" i="7" s="1"/>
  <c r="H182" i="7" s="1"/>
  <c r="H183" i="7" s="1"/>
  <c r="H184" i="7" s="1"/>
  <c r="H185" i="7" s="1"/>
  <c r="H159" i="7"/>
  <c r="H160" i="7" s="1"/>
  <c r="H161" i="7" s="1"/>
  <c r="H162" i="7" s="1"/>
  <c r="H163" i="7" s="1"/>
  <c r="H164" i="7" s="1"/>
  <c r="H165" i="7" s="1"/>
  <c r="H166" i="7" s="1"/>
  <c r="H167" i="7" s="1"/>
  <c r="H168" i="7" s="1"/>
  <c r="H169" i="7" s="1"/>
  <c r="H143" i="7"/>
  <c r="H144" i="7" s="1"/>
  <c r="H145" i="7" s="1"/>
  <c r="H146" i="7" s="1"/>
  <c r="H147" i="7" s="1"/>
  <c r="H148" i="7" s="1"/>
  <c r="H149" i="7" s="1"/>
  <c r="H150" i="7" s="1"/>
  <c r="H151" i="7" s="1"/>
  <c r="H152" i="7" s="1"/>
  <c r="H153" i="7" s="1"/>
  <c r="H154" i="7" s="1"/>
  <c r="H155" i="7" s="1"/>
  <c r="H156" i="7" s="1"/>
  <c r="H157" i="7" s="1"/>
  <c r="H133" i="7"/>
  <c r="H134" i="7" s="1"/>
  <c r="H135" i="7" s="1"/>
  <c r="H136" i="7" s="1"/>
  <c r="H137" i="7" s="1"/>
  <c r="H138" i="7" s="1"/>
  <c r="H139" i="7" s="1"/>
  <c r="H140" i="7" s="1"/>
  <c r="H141" i="7" s="1"/>
  <c r="H117" i="7"/>
  <c r="H118" i="7" s="1"/>
  <c r="H119" i="7" s="1"/>
  <c r="H120" i="7" s="1"/>
  <c r="H121" i="7" s="1"/>
  <c r="H122" i="7" s="1"/>
  <c r="H123" i="7" s="1"/>
  <c r="H124" i="7" s="1"/>
  <c r="H125" i="7" s="1"/>
  <c r="H126" i="7" s="1"/>
  <c r="H127" i="7" s="1"/>
  <c r="H128" i="7" s="1"/>
  <c r="H129" i="7" s="1"/>
  <c r="H130" i="7" s="1"/>
  <c r="H131" i="7" s="1"/>
  <c r="H109" i="7"/>
  <c r="H110" i="7" s="1"/>
  <c r="H111" i="7" s="1"/>
  <c r="H112" i="7" s="1"/>
  <c r="H113" i="7" s="1"/>
  <c r="H114" i="7" s="1"/>
  <c r="H115" i="7" s="1"/>
  <c r="H101" i="7"/>
  <c r="H102" i="7" s="1"/>
  <c r="H103" i="7" s="1"/>
  <c r="H104" i="7" s="1"/>
  <c r="H105" i="7" s="1"/>
  <c r="H106" i="7" s="1"/>
  <c r="H107" i="7" s="1"/>
  <c r="H79" i="7"/>
  <c r="H80" i="7" s="1"/>
  <c r="H81" i="7" s="1"/>
  <c r="H82" i="7" s="1"/>
  <c r="H83" i="7" s="1"/>
  <c r="H84" i="7" s="1"/>
  <c r="H85" i="7" s="1"/>
  <c r="H86" i="7" s="1"/>
  <c r="H87" i="7" s="1"/>
  <c r="H88" i="7" s="1"/>
  <c r="H89" i="7" s="1"/>
  <c r="H90" i="7" s="1"/>
  <c r="H91" i="7" s="1"/>
  <c r="H92" i="7" s="1"/>
  <c r="H93" i="7" s="1"/>
  <c r="H94" i="7" s="1"/>
  <c r="H95" i="7" s="1"/>
  <c r="H96" i="7" s="1"/>
  <c r="H97" i="7" s="1"/>
  <c r="H98" i="7" s="1"/>
  <c r="H99" i="7" s="1"/>
  <c r="H69" i="7"/>
  <c r="H70" i="7" s="1"/>
  <c r="H71" i="7" s="1"/>
  <c r="H72" i="7" s="1"/>
  <c r="H73" i="7" s="1"/>
  <c r="H74" i="7" s="1"/>
  <c r="H75" i="7" s="1"/>
  <c r="H76" i="7" s="1"/>
  <c r="H77" i="7" s="1"/>
  <c r="H55" i="7"/>
  <c r="H56" i="7" s="1"/>
  <c r="H57" i="7" s="1"/>
  <c r="H58" i="7" s="1"/>
  <c r="H59" i="7" s="1"/>
  <c r="H60" i="7" s="1"/>
  <c r="H61" i="7" s="1"/>
  <c r="H62" i="7" s="1"/>
  <c r="H63" i="7" s="1"/>
  <c r="H64" i="7" s="1"/>
  <c r="H65" i="7" s="1"/>
  <c r="H66" i="7" s="1"/>
  <c r="H67" i="7" s="1"/>
  <c r="H46" i="7"/>
  <c r="H47" i="7" s="1"/>
  <c r="H48" i="7" s="1"/>
  <c r="H49" i="7" s="1"/>
  <c r="H50" i="7" s="1"/>
  <c r="H51" i="7" s="1"/>
  <c r="H52" i="7" s="1"/>
  <c r="H53" i="7" s="1"/>
  <c r="H36" i="7"/>
  <c r="H37" i="7" s="1"/>
  <c r="H38" i="7" s="1"/>
  <c r="H39" i="7" s="1"/>
  <c r="H40" i="7" s="1"/>
  <c r="H41" i="7" s="1"/>
  <c r="H42" i="7" s="1"/>
  <c r="H43" i="7" s="1"/>
  <c r="H44" i="7" s="1"/>
  <c r="H26" i="7"/>
  <c r="H27" i="7" s="1"/>
  <c r="H28" i="7" s="1"/>
  <c r="H29" i="7" s="1"/>
  <c r="H30" i="7" s="1"/>
  <c r="H31" i="7" s="1"/>
  <c r="H32" i="7" s="1"/>
  <c r="H33" i="7" s="1"/>
  <c r="H34" i="7" s="1"/>
  <c r="H19" i="7"/>
  <c r="H20" i="7" s="1"/>
  <c r="H21" i="7" s="1"/>
  <c r="H22" i="7" s="1"/>
  <c r="H23" i="7" s="1"/>
  <c r="H24" i="7" s="1"/>
  <c r="H7" i="7"/>
  <c r="H8" i="7" s="1"/>
  <c r="H9" i="7" s="1"/>
  <c r="H10" i="7" s="1"/>
  <c r="H11" i="7" s="1"/>
  <c r="H12" i="7" s="1"/>
  <c r="H13" i="7" s="1"/>
  <c r="H14" i="7" s="1"/>
  <c r="H15" i="7" s="1"/>
  <c r="H16" i="7" s="1"/>
  <c r="H17" i="7" s="1"/>
  <c r="B61" i="3"/>
  <c r="B45" i="3"/>
  <c r="B15" i="3"/>
  <c r="B51" i="3"/>
  <c r="B27" i="3"/>
  <c r="B17" i="3"/>
  <c r="B50" i="3"/>
  <c r="B77" i="3"/>
  <c r="B76" i="3"/>
  <c r="B34" i="3"/>
  <c r="B37" i="3"/>
  <c r="B49" i="3"/>
  <c r="B23" i="3"/>
  <c r="B66" i="3"/>
  <c r="B12" i="3"/>
  <c r="B29" i="3"/>
  <c r="B36" i="3"/>
  <c r="B55" i="3"/>
  <c r="B20" i="3"/>
  <c r="B8" i="3"/>
  <c r="B35" i="3"/>
  <c r="B9" i="3"/>
  <c r="B38" i="3"/>
  <c r="B75" i="3"/>
  <c r="B46" i="3"/>
  <c r="B80" i="3"/>
  <c r="B7" i="3"/>
  <c r="B4" i="3"/>
  <c r="B14" i="3"/>
  <c r="B40" i="3"/>
  <c r="B32" i="3"/>
  <c r="B59" i="3"/>
  <c r="B42" i="3"/>
  <c r="B19" i="3"/>
  <c r="B78" i="3"/>
  <c r="B74" i="3"/>
  <c r="B72" i="3"/>
  <c r="B54" i="3"/>
  <c r="B60" i="3"/>
  <c r="B44" i="3"/>
  <c r="B6" i="3"/>
  <c r="B57" i="3"/>
  <c r="B11" i="3"/>
  <c r="B10" i="3"/>
  <c r="B63" i="3"/>
  <c r="B65" i="3"/>
  <c r="B5" i="3"/>
  <c r="B30" i="3"/>
  <c r="B39" i="3"/>
  <c r="B56" i="3"/>
  <c r="B21" i="3"/>
  <c r="B62" i="3"/>
  <c r="B70" i="3"/>
  <c r="B31" i="3"/>
  <c r="B48" i="3"/>
  <c r="B71" i="3"/>
  <c r="B26" i="3"/>
  <c r="B16" i="3"/>
  <c r="B69" i="3"/>
  <c r="B43" i="3"/>
  <c r="B18" i="3"/>
  <c r="B67" i="3"/>
  <c r="B13" i="3"/>
  <c r="B24" i="3"/>
  <c r="B68" i="3"/>
  <c r="B47" i="3"/>
  <c r="B73" i="3"/>
  <c r="B64" i="3"/>
  <c r="B79" i="3"/>
  <c r="B25" i="3"/>
  <c r="B28" i="3"/>
  <c r="B22" i="3"/>
  <c r="B41" i="3"/>
  <c r="A69" i="3" l="1"/>
  <c r="A67" i="3"/>
  <c r="A66" i="3"/>
  <c r="A65" i="3"/>
  <c r="A64" i="3"/>
  <c r="A63" i="3"/>
  <c r="A62" i="3"/>
  <c r="A61" i="3"/>
  <c r="A60" i="3"/>
  <c r="A59" i="3"/>
  <c r="A57" i="3"/>
  <c r="A56" i="3"/>
  <c r="A55" i="3"/>
  <c r="A53" i="3"/>
  <c r="A50" i="3"/>
  <c r="A49" i="3"/>
  <c r="A48" i="3"/>
  <c r="A47" i="3"/>
  <c r="A46" i="3"/>
  <c r="A45" i="3"/>
  <c r="A44" i="3"/>
  <c r="A43" i="3"/>
  <c r="A42" i="3"/>
  <c r="A41" i="3"/>
  <c r="A40" i="3"/>
  <c r="A39" i="3"/>
  <c r="A38" i="3"/>
  <c r="A37" i="3"/>
  <c r="A36" i="3"/>
  <c r="A35" i="3"/>
  <c r="A34" i="3"/>
  <c r="A32" i="3"/>
  <c r="A31" i="3"/>
  <c r="A30" i="3"/>
  <c r="A27" i="3"/>
  <c r="A26" i="3"/>
  <c r="A25" i="3"/>
  <c r="A24" i="3"/>
  <c r="A22" i="3"/>
  <c r="A21" i="3"/>
  <c r="A20" i="3"/>
  <c r="A17" i="3"/>
  <c r="A16" i="3"/>
  <c r="A15" i="3"/>
  <c r="A14" i="3"/>
  <c r="A12" i="3"/>
  <c r="A11" i="3"/>
  <c r="A10" i="3"/>
  <c r="A9" i="3"/>
  <c r="A7" i="3"/>
  <c r="A6" i="3"/>
  <c r="A5" i="3"/>
  <c r="A4" i="3"/>
  <c r="U4" i="3" l="1"/>
</calcChain>
</file>

<file path=xl/comments1.xml><?xml version="1.0" encoding="utf-8"?>
<comments xmlns="http://schemas.openxmlformats.org/spreadsheetml/2006/main">
  <authors>
    <author>고광민</author>
  </authors>
  <commentList>
    <comment ref="I1" authorId="0" shapeId="0">
      <text>
        <r>
          <rPr>
            <sz val="9"/>
            <color rgb="FF000000"/>
            <rFont val="Tahoma"/>
            <family val="2"/>
          </rPr>
          <t>1.STK(S): KOSPI
2.KSQ(Q): KOSDAQ
8.KNX(X): KONEX
4.BND(B): General Bonds
5.SMB(M): Small Bonds
6.KTS(K): KTB
7.RPO(R): Repo
3.DRV(F): Derivatives
B.CMD(G): Gold
C.ETS(E): Emission
A.OIL(O): Oil</t>
        </r>
        <r>
          <rPr>
            <sz val="9"/>
            <color rgb="FF000000"/>
            <rFont val="돋움"/>
            <family val="3"/>
            <charset val="129"/>
          </rPr>
          <t xml:space="preserve">
</t>
        </r>
        <r>
          <rPr>
            <sz val="9"/>
            <color rgb="FF000000"/>
            <rFont val="Tahoma"/>
            <family val="2"/>
          </rPr>
          <t>OTCB: FreeBond</t>
        </r>
        <r>
          <rPr>
            <sz val="9"/>
            <color rgb="FF000000"/>
            <rFont val="돋움"/>
            <family val="3"/>
            <charset val="129"/>
          </rPr>
          <t xml:space="preserve">
</t>
        </r>
        <r>
          <rPr>
            <sz val="9"/>
            <color rgb="FF000000"/>
            <rFont val="Tahoma"/>
            <family val="2"/>
          </rPr>
          <t>KOTC: K-OTC</t>
        </r>
      </text>
    </comment>
    <comment ref="J3" authorId="0" shapeId="0">
      <text>
        <r>
          <rPr>
            <b/>
            <sz val="9"/>
            <color rgb="FF000000"/>
            <rFont val="돋움"/>
            <family val="3"/>
            <charset val="129"/>
          </rPr>
          <t>not to be launched in Jan. 2023</t>
        </r>
      </text>
    </comment>
    <comment ref="N3" authorId="0" shapeId="0">
      <text>
        <r>
          <rPr>
            <b/>
            <sz val="9"/>
            <color rgb="FF000000"/>
            <rFont val="돋움"/>
            <family val="3"/>
            <charset val="129"/>
          </rPr>
          <t>not to be launched in Jan. 2023</t>
        </r>
      </text>
    </comment>
    <comment ref="P3" authorId="0" shapeId="0">
      <text>
        <r>
          <rPr>
            <b/>
            <sz val="9"/>
            <color rgb="FF000000"/>
            <rFont val="돋움"/>
            <family val="3"/>
            <charset val="129"/>
          </rPr>
          <t>not to be launched in Jan. 2023</t>
        </r>
      </text>
    </comment>
  </commentList>
</comments>
</file>

<file path=xl/comments2.xml><?xml version="1.0" encoding="utf-8"?>
<comments xmlns="http://schemas.openxmlformats.org/spreadsheetml/2006/main">
  <authors>
    <author>admin</author>
    <author>lsj03</author>
  </authors>
  <commentList>
    <comment ref="A2" authorId="0" shapeId="0">
      <text>
        <r>
          <rPr>
            <b/>
            <sz val="9"/>
            <color rgb="FF000000"/>
            <rFont val="돋움"/>
            <family val="3"/>
            <charset val="129"/>
          </rPr>
          <t>Securities A
Securities B
Securities C
Derivatives A
Derivatives B
Bonds
Commodities</t>
        </r>
      </text>
    </comment>
    <comment ref="B2" authorId="0" shapeId="0">
      <text>
        <r>
          <rPr>
            <b/>
            <sz val="9"/>
            <color rgb="FF000000"/>
            <rFont val="돋움"/>
            <family val="3"/>
            <charset val="129"/>
          </rPr>
          <t>KOSPI 100M
KOSPI  12M
KOSPI  128K
Equity Product 100M
Equity Product 12M
KOSDAQ 100M
KOSDAQ 12M
KOSDAQ 128K
Futures 100M
Futures 12M
Derivatives 128K
Call Options 100M
Call Options 12M
Put Options 100M
Put Options 12M
Bonds 8M
Bonds 512K
Bonds 128K</t>
        </r>
      </text>
    </comment>
    <comment ref="C2" authorId="0" shapeId="0">
      <text>
        <r>
          <rPr>
            <b/>
            <sz val="9"/>
            <color rgb="FF000000"/>
            <rFont val="Tahoma"/>
            <family val="2"/>
          </rPr>
          <t>Multicast
Broadcast</t>
        </r>
      </text>
    </comment>
    <comment ref="H2" authorId="1" shapeId="0">
      <text>
        <r>
          <rPr>
            <b/>
            <sz val="9"/>
            <color rgb="FF000000"/>
            <rFont val="돋움"/>
            <family val="3"/>
            <charset val="129"/>
          </rPr>
          <t>Data Type Code will be added</t>
        </r>
      </text>
    </comment>
  </commentList>
</comments>
</file>

<file path=xl/sharedStrings.xml><?xml version="1.0" encoding="utf-8"?>
<sst xmlns="http://schemas.openxmlformats.org/spreadsheetml/2006/main" count="7848" uniqueCount="1689">
  <si>
    <t>This refers to settlement records when market information is EOD, otherwise not applicable</t>
  </si>
  <si>
    <t>4: small or medium sized enterprise
5: middle-standing enterprise
6: else
7. not determined</t>
  </si>
  <si>
    <t>0: common stock consolidation(1~4)
5: 1 preferred stock consolidation
6: 2 preferred stock consolidation</t>
  </si>
  <si>
    <t>Lean Hog Representative Price Index : At around 10:00
Lean Hog Real-Time Price Index : 1 minute interval
Lean Hog Closing Index : At around 18:00</t>
  </si>
  <si>
    <t>Lean Hog Representative Price Index : At around 10:00
Lean Hog Real-time Price Index : 1 minute interval
Lean Hog Closing Index : At around 18:00</t>
  </si>
  <si>
    <t>Main
MI : 192.165.1.120
BI1 : 192.165.1.121
BI2 : ...
TIA : 192.161.1.123
DR
MI : 192.165.1.220</t>
  </si>
  <si>
    <t>0:Normal 1:exhaustion type 2: newly designated to exhaustion issue 3:Lift of exhaustion issue</t>
  </si>
  <si>
    <t>Konex Foreigner Investment Information For Each Issue(Confirmed Data)</t>
  </si>
  <si>
    <t>Kosdaq Foreigner Investment Information For Each Issue(Confirmed Data)</t>
  </si>
  <si>
    <t>Kospi Foreigner Investment Information For Each Issue(Confirmed Data)</t>
  </si>
  <si>
    <t>Bond Foreigner Investment Information For Each Issue(Confirmed Data)</t>
  </si>
  <si>
    <t>Day before previous days' non-taxable base price for overseas stocks</t>
  </si>
  <si>
    <t>During market: HHMMSS (Time:min:Sec) 090000 ~ 
Market Closing: JUNJJJ</t>
  </si>
  <si>
    <t>1:KRW 2:USD 3:YEN 4:EURO 5:CNY 6:GBP 7:HKD 8:AUD 9:SGD 0:miscellaneous</t>
  </si>
  <si>
    <t>Normal: remaining quantity of order
Correction: remaining quantity of correction</t>
  </si>
  <si>
    <t>Unit: 1 KRW, 1 USD, 1 YEN, 1 EURO, 1 CNY, 1 GBP, 1 HKD, 1 AUD, 1 SGD, miscellaneous</t>
  </si>
  <si>
    <t>Normal: 0, in case of correction/cancellation,
relevant original quote is number</t>
  </si>
  <si>
    <t>Weighted average stock, in case of occurring "off", trading basis price set.
in case of quotation, quotation price set.</t>
  </si>
  <si>
    <t>06</t>
  </si>
  <si>
    <t>KNX</t>
  </si>
  <si>
    <t>01F</t>
  </si>
  <si>
    <t>EPS</t>
  </si>
  <si>
    <t>PER</t>
  </si>
  <si>
    <t>A7</t>
  </si>
  <si>
    <t>E2</t>
  </si>
  <si>
    <t>03S</t>
  </si>
  <si>
    <t>N3</t>
  </si>
  <si>
    <t>NH0</t>
  </si>
  <si>
    <t>B</t>
  </si>
  <si>
    <t>비고</t>
  </si>
  <si>
    <t>A6</t>
  </si>
  <si>
    <t>ALL</t>
  </si>
  <si>
    <t>O</t>
  </si>
  <si>
    <t>04S</t>
  </si>
  <si>
    <t>04</t>
  </si>
  <si>
    <t>00S</t>
  </si>
  <si>
    <t>50</t>
  </si>
  <si>
    <t>18</t>
  </si>
  <si>
    <t>05</t>
  </si>
  <si>
    <t>FF</t>
  </si>
  <si>
    <t>044</t>
  </si>
  <si>
    <t>01S</t>
  </si>
  <si>
    <t>I2</t>
  </si>
  <si>
    <t>no.</t>
  </si>
  <si>
    <t>02F</t>
  </si>
  <si>
    <t>126</t>
  </si>
  <si>
    <t>KTS</t>
  </si>
  <si>
    <t>F3</t>
  </si>
  <si>
    <t>01X</t>
  </si>
  <si>
    <t>02S</t>
  </si>
  <si>
    <t>S</t>
  </si>
  <si>
    <t>New</t>
  </si>
  <si>
    <t>154</t>
  </si>
  <si>
    <t>MM</t>
  </si>
  <si>
    <t>000</t>
  </si>
  <si>
    <t>BV</t>
  </si>
  <si>
    <t>F6</t>
  </si>
  <si>
    <t>S1</t>
  </si>
  <si>
    <t>X4</t>
  </si>
  <si>
    <t>S3</t>
  </si>
  <si>
    <t>F2</t>
  </si>
  <si>
    <t>N8</t>
  </si>
  <si>
    <t>P6</t>
  </si>
  <si>
    <t>M8</t>
  </si>
  <si>
    <t>Q5</t>
  </si>
  <si>
    <t>S2</t>
  </si>
  <si>
    <t>L5</t>
  </si>
  <si>
    <t>P7</t>
  </si>
  <si>
    <t>L9</t>
  </si>
  <si>
    <t>F8</t>
  </si>
  <si>
    <t>40</t>
  </si>
  <si>
    <t>Q4</t>
  </si>
  <si>
    <t>BW</t>
  </si>
  <si>
    <t>13F</t>
  </si>
  <si>
    <t>00B</t>
  </si>
  <si>
    <t>07F</t>
  </si>
  <si>
    <t>00R</t>
  </si>
  <si>
    <t>09F</t>
  </si>
  <si>
    <t>01G</t>
  </si>
  <si>
    <t>00Q</t>
  </si>
  <si>
    <t>F4</t>
  </si>
  <si>
    <t>F5</t>
  </si>
  <si>
    <t>01Q</t>
  </si>
  <si>
    <t>077</t>
  </si>
  <si>
    <t>02</t>
  </si>
  <si>
    <t>08</t>
  </si>
  <si>
    <t>9</t>
  </si>
  <si>
    <t>12</t>
  </si>
  <si>
    <t>07</t>
  </si>
  <si>
    <t>00G</t>
  </si>
  <si>
    <t>28</t>
  </si>
  <si>
    <t>09</t>
  </si>
  <si>
    <t>00</t>
  </si>
  <si>
    <t>00X</t>
  </si>
  <si>
    <t>04F</t>
  </si>
  <si>
    <t>013</t>
  </si>
  <si>
    <t>02B</t>
  </si>
  <si>
    <t>027</t>
  </si>
  <si>
    <t>08F</t>
  </si>
  <si>
    <t>15F</t>
  </si>
  <si>
    <t>01K</t>
  </si>
  <si>
    <t>06F</t>
  </si>
  <si>
    <t>16F</t>
  </si>
  <si>
    <t>A0</t>
  </si>
  <si>
    <t>11</t>
  </si>
  <si>
    <t>10F</t>
  </si>
  <si>
    <t>00M</t>
  </si>
  <si>
    <t>03</t>
  </si>
  <si>
    <t>7</t>
  </si>
  <si>
    <t>10</t>
  </si>
  <si>
    <t>11F</t>
  </si>
  <si>
    <t>01R</t>
  </si>
  <si>
    <t>05F</t>
  </si>
  <si>
    <t>12F</t>
  </si>
  <si>
    <t>4</t>
  </si>
  <si>
    <t>03F</t>
  </si>
  <si>
    <t>3</t>
  </si>
  <si>
    <t>01M</t>
  </si>
  <si>
    <t>054</t>
  </si>
  <si>
    <t>K6</t>
  </si>
  <si>
    <t>STK</t>
  </si>
  <si>
    <t>J8</t>
  </si>
  <si>
    <t>J5</t>
  </si>
  <si>
    <t>A2</t>
  </si>
  <si>
    <t>KRW</t>
  </si>
  <si>
    <t>BND</t>
  </si>
  <si>
    <t>1</t>
  </si>
  <si>
    <t>C1</t>
  </si>
  <si>
    <t>G5</t>
  </si>
  <si>
    <t>00F</t>
  </si>
  <si>
    <t>01B</t>
  </si>
  <si>
    <t>00K</t>
  </si>
  <si>
    <t>KSQ</t>
  </si>
  <si>
    <t>P3</t>
  </si>
  <si>
    <t>●</t>
  </si>
  <si>
    <t>C7</t>
  </si>
  <si>
    <t>O9</t>
  </si>
  <si>
    <t>J6</t>
  </si>
  <si>
    <t>6</t>
  </si>
  <si>
    <t>K0</t>
  </si>
  <si>
    <t>14F</t>
  </si>
  <si>
    <t>909</t>
  </si>
  <si>
    <t>Q6</t>
  </si>
  <si>
    <t>SI0</t>
  </si>
  <si>
    <t/>
  </si>
  <si>
    <t>15</t>
  </si>
  <si>
    <t>kg</t>
  </si>
  <si>
    <t>HO0</t>
  </si>
  <si>
    <t>A3</t>
  </si>
  <si>
    <t>J7</t>
  </si>
  <si>
    <t>8</t>
  </si>
  <si>
    <t>L6</t>
  </si>
  <si>
    <t>Remaining quantity of bid best order</t>
  </si>
  <si>
    <t>Unfaithful disclosure designated date2</t>
  </si>
  <si>
    <t>0:ordinary order, 1:replacement order</t>
  </si>
  <si>
    <t>ETF Foreign Flow Net Asset Total Amount</t>
  </si>
  <si>
    <t>Investment
warning designation date7</t>
  </si>
  <si>
    <t>Investment
warning designation date15</t>
  </si>
  <si>
    <t>Investment
warning designation date12</t>
  </si>
  <si>
    <t>Investment
warning designation date4</t>
  </si>
  <si>
    <t>1: normal 2: correction 3: cancellation</t>
  </si>
  <si>
    <t>Investment
warning designation date10</t>
  </si>
  <si>
    <t>9V9999 (Ex: 15% → 01500 transmission)</t>
  </si>
  <si>
    <t>Unfaithful disclosure designated date1</t>
  </si>
  <si>
    <t>Investment
warning designation date1</t>
  </si>
  <si>
    <t>Foreigner Available Quantity For Order</t>
  </si>
  <si>
    <t>Unfaithful disclosure designated date3</t>
  </si>
  <si>
    <t>Foreigner Confirmed Data Retransmission</t>
  </si>
  <si>
    <t>Unfaithful disclosure designated date5</t>
  </si>
  <si>
    <t>Foreigner Trading/Settlement Situation</t>
  </si>
  <si>
    <t>Quote number in case of normal process</t>
  </si>
  <si>
    <t>Unfaithful disclosure designated date4</t>
  </si>
  <si>
    <t>Investment
warning designation date11</t>
  </si>
  <si>
    <t>Investment
warning designation date2</t>
  </si>
  <si>
    <t>Investment
warning designation date8</t>
  </si>
  <si>
    <t>ELW Investment Indicator Sensitivity</t>
  </si>
  <si>
    <t>+: ascended "-":declined " ":Steadiness</t>
  </si>
  <si>
    <t>Remaining quantity of ask best order</t>
  </si>
  <si>
    <t>Remaining quantity of Best bid order</t>
  </si>
  <si>
    <t>Investment
warning designation date13</t>
  </si>
  <si>
    <t>Investment
warning designation date5</t>
  </si>
  <si>
    <t>Investment
warning designation date9</t>
  </si>
  <si>
    <t>Investment
warning designation date6</t>
  </si>
  <si>
    <t>Investment
warning designation date14</t>
  </si>
  <si>
    <t>1~99999999 To check number of orders</t>
  </si>
  <si>
    <t>Investment
warning designation date3</t>
  </si>
  <si>
    <t>Remaining quantity of best ask order</t>
  </si>
  <si>
    <t>Previous weighted average stockprice</t>
  </si>
  <si>
    <t>04:Downturn in trading (4months)
12:Unfaithful disclosure(4 or more times)
13:Failure in timely submission of annual disclosure documents for the last fiscal year
14:Failure in timely submission of semiannual disclosure documents within the last 4 business years (1 or more times)
21:Disclaimer of Opinion,22:Adverse Opinion
23:Limited audit opinion,31:Capital impairment
32:Failure in sales achievement,33:Failure to deliver shares of minority shareholders
34:Filing for Corporate rehabilitation
35:Deregistration (scheduled at the end of 2016)</t>
  </si>
  <si>
    <t>previous day's cash Dividend price</t>
  </si>
  <si>
    <t>51:Today's Trading History in OTC
52:Previous Day's Trading History in OTC
53:Omitted Info. in past OTC Trading History
54:Changed/Canceled Info. in past OTC Trading History</t>
  </si>
  <si>
    <t>Item name changed(ASIS Cancellation type)
0:Normal 
1:Lift Due to Consolidation of New and Old Stock
2:Designation/Registration Lift</t>
  </si>
  <si>
    <t>KRW(Data transmitted only for Bid(1)/Ask(2) on 'Contract category' field)</t>
  </si>
  <si>
    <t>Normal: 0, in case of correction/cancellation,
original remaining quantity</t>
  </si>
  <si>
    <t>HHMMSS09:00:00 ~ (In case of closing price index : JUNJJJ)
Cycle: 1 minute</t>
  </si>
  <si>
    <t>Previous days' non-taxable base price before dividend for overseas stocks</t>
  </si>
  <si>
    <t>Foreigner Limit Reduction KOSDAQ Trading</t>
  </si>
  <si>
    <t>01:order available quantity(real-time)
07: potential available order quantity</t>
  </si>
  <si>
    <t>Kospi Foreigner Trading/Settlement Situation</t>
  </si>
  <si>
    <t>Kosdaq Foreigner Limit Reduction KOSDAQ Trading</t>
  </si>
  <si>
    <t>Foreigner Preliminary Order Designation/Lift</t>
  </si>
  <si>
    <t>Composition Rate within Index
99999V99 Unit:%</t>
  </si>
  <si>
    <t>Konex Foreigner Available Quantity For Order</t>
  </si>
  <si>
    <t>Kosdaq Foreigner Confirmed Data Retransmission</t>
  </si>
  <si>
    <t>Bond Foreigner Confirmed Data Retransmission</t>
  </si>
  <si>
    <t>Kospi Foreigner Available Quantity For Order</t>
  </si>
  <si>
    <t>Kospi Foreigner Confirmed Data Retransmission</t>
  </si>
  <si>
    <t>0: normal 1:exceed limit 2: addition 3: delete</t>
  </si>
  <si>
    <t>HHMMSS:08:30~09:00(PREJJJ) 14:50~15:00(JUNJJJ)</t>
  </si>
  <si>
    <t>0: normal
1~5: unfaithful disclosure 1~5times</t>
  </si>
  <si>
    <t>1:Regularly 2:Announced through closing price</t>
  </si>
  <si>
    <t>Konex Foreigner Confirmed Data Retransmission</t>
  </si>
  <si>
    <t>Trading price compare remaining quantity of ask</t>
  </si>
  <si>
    <t>Trading price compare remaining quantity of bid</t>
  </si>
  <si>
    <t>9(3)V9(3) ※ It is not calculated. set as' 0'</t>
  </si>
  <si>
    <t>Konex Foreigner Limit Reduction KOSDAQ Trading</t>
  </si>
  <si>
    <t>HHMMSS:Regular Session JSAM00:Market Closing</t>
  </si>
  <si>
    <t>1: Insert Unit Price 2: Cancellation Unit Price</t>
  </si>
  <si>
    <t>Kosdaq Foreigner Available Quantity For Order</t>
  </si>
  <si>
    <t>Konex Foreigner Trading/Settlement Situation</t>
  </si>
  <si>
    <t>Kospi Foreigner Limit Reduction KOSDAQ Trading</t>
  </si>
  <si>
    <t>Kosdaq Foreigner Trading/Settlement Situation</t>
  </si>
  <si>
    <t>Item name changed(ASIS Authorized applicant)</t>
  </si>
  <si>
    <t>9(7)V9(2) ※ It is not calculated. set as' 0'</t>
  </si>
  <si>
    <t>a day before previous day's taxable basic price</t>
  </si>
  <si>
    <t>09:01~extjjj(off-hours closing, about 18:00)</t>
  </si>
  <si>
    <t>ISIN Standard Code
Overseas constituents '0' or can set by Space</t>
  </si>
  <si>
    <t>1:Today 2:Next Day 3:3rd Day 4:4th 
5:5th 6:6th 7:7th 8:8th 9:Other</t>
  </si>
  <si>
    <t>9999999V99 final IV from Just before Business day,Unit: Won(KRW)</t>
  </si>
  <si>
    <t>SPACE:Disparate Ratio=0 "+":Disparate Ratio&gt;0 "-":Disparate Ratio&lt;0</t>
  </si>
  <si>
    <t>01: designation of preliminary order
02: lift of preliminary order</t>
  </si>
  <si>
    <t>ISIN Code
In case it's foreign issue, it may be set as '0' or SPACE</t>
  </si>
  <si>
    <t>1~99999999 Transmission Sequence Number to check number of orders</t>
  </si>
  <si>
    <t>During market::HHMMSS(Time:min:Sec) 090000 ~ Market Closing:JUNJJJ</t>
  </si>
  <si>
    <t>Risk Appraisement Information on Synthetic ETF Daily Trade-Party</t>
  </si>
  <si>
    <t>1:KTB 2:MB 3:Special Bond 
4:MSB 5:Financial Bond 6:Corporate Bond</t>
  </si>
  <si>
    <t>In case of foreign issue is issue name. For others, '0' or SPACE</t>
  </si>
  <si>
    <t>1:trading halt 2: lift after trading halt</t>
  </si>
  <si>
    <t>0:Weighted Avg Price,1:Quotation,2:No trade</t>
  </si>
  <si>
    <t>Price compare remaining quantity of order</t>
  </si>
  <si>
    <t>0:Weighted Avg Price,1:Quotation,2:No Trade</t>
  </si>
  <si>
    <t>Bond Foreigner Available Quantity For Order</t>
  </si>
  <si>
    <t>MKF Index
MKF Index(Japanese Yen's exchange rate is reflected)</t>
  </si>
  <si>
    <t>Normal: 0, in case of correction/cancellation,
original price</t>
  </si>
  <si>
    <t>1~99999999 Transmission seq. number, To check number of orders</t>
  </si>
  <si>
    <t>Foreigner Investment Information For Each Issue(Confirmed Data)</t>
  </si>
  <si>
    <t>01: change of basis price and upper/lower limit price 
02: temporary halt, 03: resumption after temporary halt</t>
  </si>
  <si>
    <r>
      <t xml:space="preserve">* Message Code Change (Market Category): KOSPI(F1011 </t>
    </r>
    <r>
      <rPr>
        <sz val="8"/>
        <color rgb="FF000000"/>
        <rFont val="맑은 고딕"/>
        <family val="3"/>
        <charset val="129"/>
      </rPr>
      <t>→</t>
    </r>
    <r>
      <rPr>
        <sz val="8"/>
        <color rgb="FF000000"/>
        <rFont val="Cambria"/>
        <family val="1"/>
      </rPr>
      <t xml:space="preserve"> F101S), KOSDAQ (F1012 </t>
    </r>
    <r>
      <rPr>
        <sz val="8"/>
        <color rgb="FF000000"/>
        <rFont val="맑은 고딕"/>
        <family val="3"/>
        <charset val="129"/>
      </rPr>
      <t>→</t>
    </r>
    <r>
      <rPr>
        <sz val="8"/>
        <color rgb="FF000000"/>
        <rFont val="Cambria"/>
        <family val="1"/>
      </rPr>
      <t xml:space="preserve"> F101Q), KONEX (F1018 </t>
    </r>
    <r>
      <rPr>
        <sz val="8"/>
        <color rgb="FF000000"/>
        <rFont val="맑은 고딕"/>
        <family val="3"/>
        <charset val="129"/>
      </rPr>
      <t>→</t>
    </r>
    <r>
      <rPr>
        <sz val="8"/>
        <color rgb="FF000000"/>
        <rFont val="Cambria"/>
        <family val="1"/>
      </rPr>
      <t xml:space="preserve"> F101X)</t>
    </r>
  </si>
  <si>
    <t>Spot Market Info_Lean Hog Real-time Price Index_Data</t>
  </si>
  <si>
    <t>2:T+0(On one day), 3:T+1(Next day), 4:T+2, ~ 32:T+30</t>
  </si>
  <si>
    <t>MKF Index(Japanese Yen's exchange rate is reflected)</t>
  </si>
  <si>
    <t>Seq. number including quote,
trading and market action</t>
  </si>
  <si>
    <t>YYYYMMDD(in case that data type is not 01, then "0")</t>
  </si>
  <si>
    <t>Unit: KRW (in case that data type is not 01, then "0")</t>
  </si>
  <si>
    <t>HHMMSS09:00:00 ~ JUNJJJ(Around 15:30)
Cycle: 1 minute</t>
  </si>
  <si>
    <t>HHMMSSMM(in case that data type is not 01, then "0")</t>
  </si>
  <si>
    <t>0:Normal 
Originally Registered Number:Change/Cancel</t>
  </si>
  <si>
    <t>Equity Linked Warrants Investment Indicator Sensitivity</t>
  </si>
  <si>
    <t>Spot Market Info_Lean Hog Representative Price Index</t>
  </si>
  <si>
    <t>KRD010010001:KRW CASH
listed futures: isin code, in case of non-listed, separated definition: futures in case of non-listed, separate definition
 CP added : KRZ + 9 digits
FXFWD0000USD : FX Forward(USD). Last 3 digitsmeans currency code
FXFWD0000JPY : FX Forward(JPY). Last 3 digitsmeans currency code
FXFWD0000EUR : FX Forward(EUR). Last 3 digitsmeans currency code
FXFWD0000GBP : FX Forward(GBP).Last 3 digitsmeans currency code
* For etc currency :FXFWD0000 +Currency code 3digits
SWAP00000001 :SWAP
SWAP00000002 :SWAP(HYUNDAI Securities)
SWAP00000003 :SWAP(DAISHIN Securities)
SWAP00000004 :SWAP(WOORI Investment&amp;Securities)
SWAP00000005 :SWAP(DAEWOO Securities)
CASH00000001 : cash amount set
KSP200T00001 : derivatives linked securities and otc derivatives based on kospi200 as an underlying asset
FKSP200T0001 : derivatives linked securities and otc derivatives based on f-kospi200 as an underlying asset
USDZZ0000001 : usd cash
US73936B5075 : powershares db oil fund
NYMFU000CLQ0 :wti futures (wti crude f1008)
NYMFU000CLU0 :wti futures (wti crude f1009)
ppscu0000001: copper warehouse warrant
ppsni0000001: nickel warehouse warrant
ppsal0000001: aluminum warehouse warrant
lmecu0000001: copper warrant
lmeni0000001: nickel warrant
lmeal0000001: aluminum warrant</t>
  </si>
  <si>
    <t>Kospi Foreigner Investment Information For Each Issue(Confirmed Data)
Kosdaq Foreigner Investment Information For Each Issue(Confirmed Data)
K-OTC Foreigner Investment Information For Each Issue(Confirmed Data)
Konex Foreigner Investment Information For Each Issue(Confirmed Data)
Bond Foreigner Investment Information For Each Issue(Confirmed Data)
Kospi Foreigner Available Quantity For Order
Kosdaq Foreigner Available Quantity For Order
K-OTC Foreigner Available Quantity For Order
Konex Foreigner Available Quantity For Order
Bond Foreigner Available Quantity For Order
Kospi Foreigner Preliminary Order Designation/Lift
Kosdaq Foreigner Preliminary Order Designation/Lift
K-OTC Foreigner Preliminary Order Designation/Lift
Konex Foreigner Preliminary Order Designation/Lift
Kospi Foreigner Confirmed Data Retransmission
Kosdaq Foreigner Confirmed Data Retransmission
K-OTC Foreigner Confirmed Data Retransmission
Konex Foreigner Confirmed Data Retransmission
Kospi Foreigner Limit Reduction KOSDAQ Trading
Kosdaq Foreigner Limit Reduction KOSDAQ Trading
K-OTC Foreigner Limit Reduction KOSDAQ Trading
Konex Foreigner Limit Reduction KOSDAQ Trading
Kospi Foreigner Trading/Settlement Situation
Kosdaq Foreigner Trading/Settlement Situation
Konex Foreigner Trading/Settlement Situation</t>
  </si>
  <si>
    <t>9999V9999(KRW/USD, KRW/YEN, KRW/EURO, KRW/CNY, KRW/GBP, KRW/HKD, KRW/AUD, KRW/SGD, KRW/miscellaneous)</t>
  </si>
  <si>
    <t>Investment
warning reason code8</t>
  </si>
  <si>
    <t>MKF Index (E2000)
MKF Index(Japanese Yen's exchange rate is reflected) (O9000)
WISEFn Index (P3000)</t>
  </si>
  <si>
    <t>0: normal, 1:investment warning</t>
  </si>
  <si>
    <t>Total remaining quantity of bid</t>
  </si>
  <si>
    <t>Weighted average stock price</t>
  </si>
  <si>
    <t>Compared to previous day type</t>
  </si>
  <si>
    <t>Unit: issue (including cash)</t>
  </si>
  <si>
    <t>Investment
warning reason code9</t>
  </si>
  <si>
    <t>OTC Bond Trades per Institution</t>
  </si>
  <si>
    <t>Standard industry business code</t>
  </si>
  <si>
    <t>Issue name(shorten Korean name)</t>
  </si>
  <si>
    <t>ETN Transfer Agent Batch Data</t>
  </si>
  <si>
    <t>Investment
warning reason code4</t>
  </si>
  <si>
    <t>Investment
warning reason code6</t>
  </si>
  <si>
    <t>Total trading accumulated value</t>
  </si>
  <si>
    <t>01:OTC Bond Final Quotes Yield</t>
  </si>
  <si>
    <t>Trading number for each issue</t>
  </si>
  <si>
    <t>Investment
warning reason code3</t>
  </si>
  <si>
    <t>Investment
warning reason code7</t>
  </si>
  <si>
    <t>Preliminary order opening time</t>
  </si>
  <si>
    <t>Over-the-counter Bond(Quote)</t>
  </si>
  <si>
    <t>Investment
warning reason code2</t>
  </si>
  <si>
    <t>9(8)V9(2) "0" for Standard ELW</t>
  </si>
  <si>
    <t>Trading volume for each issue</t>
  </si>
  <si>
    <t>Announcement date 2 days before</t>
  </si>
  <si>
    <t>Announcement date Previous day</t>
  </si>
  <si>
    <t>During market/final market NAV</t>
  </si>
  <si>
    <t>Investment
warning reason code5</t>
  </si>
  <si>
    <t>0: normal 1: new 2: addition</t>
  </si>
  <si>
    <t>previous day's taxable basic price before Dividend</t>
  </si>
  <si>
    <t>Normal: order price
Correction: correction price</t>
  </si>
  <si>
    <t>Par value amount/Cash Amount/Converted amount(KRW)</t>
  </si>
  <si>
    <t>Original price compare remaining quantity of order</t>
  </si>
  <si>
    <t>Spot Market Info_Lean Hog Closing Price Index_Data</t>
  </si>
  <si>
    <t>Synthetic ETF Basic Index Composition Constituents</t>
  </si>
  <si>
    <t>Kosdaq Foreigner Preliminary Order Designation/Lift</t>
  </si>
  <si>
    <t>※For details, refer to Investment warning reason1</t>
  </si>
  <si>
    <t>Konex Foreigner Preliminary Order Designation/Lift</t>
  </si>
  <si>
    <t>H1:Quotes /Trading H2:Quotes /Trading Change Detail</t>
  </si>
  <si>
    <t>Kospi Foreigner Preliminary Order Designation/Lift</t>
  </si>
  <si>
    <t>HHMMSS:During Market hours JUNJJJ:Market Closure</t>
  </si>
  <si>
    <t>Seq. number including quote, trading, market action</t>
  </si>
  <si>
    <t>1:Self-dealings 2:Cross Trading 3:Brokerage 9:Other</t>
  </si>
  <si>
    <t>Name of Composition Constituents</t>
  </si>
  <si>
    <t>Implied Volatility of ELW LP Quotes</t>
  </si>
  <si>
    <t>Investment
warning reason code13</t>
  </si>
  <si>
    <t>2:Brokerage 4:Direct Participant</t>
  </si>
  <si>
    <t>ETF Foreign Final 
Net Asset Value</t>
  </si>
  <si>
    <t>Unfaithful disclosure expiry date3</t>
  </si>
  <si>
    <t>Unit: constituents (including cash)</t>
  </si>
  <si>
    <t>Operator Abbreviated Name (Korean)</t>
  </si>
  <si>
    <t>0:Normal Company, 1:Venture Company</t>
  </si>
  <si>
    <t>Investment
warning reason code12</t>
  </si>
  <si>
    <t>ETF Foreign Net Asset Value Amount</t>
  </si>
  <si>
    <t>Refer to trading original type code</t>
  </si>
  <si>
    <t>Investment
warning reason code10</t>
  </si>
  <si>
    <t>Number of Composition Constituents</t>
  </si>
  <si>
    <t>0:Volatility Futures ETN
1:Others</t>
  </si>
  <si>
    <t>Unfaithful disclosure expiry date2</t>
  </si>
  <si>
    <t xml:space="preserve">Refer to the sheet "Message List" </t>
  </si>
  <si>
    <t>01:KIDB 02:KMB 91:INFOMAX 92:KOSCOM</t>
  </si>
  <si>
    <t>Announcement date - Previous day</t>
  </si>
  <si>
    <t>SPACE set until Index is provided</t>
  </si>
  <si>
    <t>9V9999 (Ex:15% → 01500 Delivery)</t>
  </si>
  <si>
    <t>Investment
warning reason code15</t>
  </si>
  <si>
    <t>Unfaithful disclosure expiry date4</t>
  </si>
  <si>
    <t>Total trading accumulated Volume</t>
  </si>
  <si>
    <t>Unfaithful disclosure expiry date5</t>
  </si>
  <si>
    <t>Operator Abbreviated Name (English)</t>
  </si>
  <si>
    <t>previous day's taxable basic price</t>
  </si>
  <si>
    <t>ETN Index Composition Constituents</t>
  </si>
  <si>
    <t>Investment
warning reason code14</t>
  </si>
  <si>
    <t xml:space="preserve">9(3)V9(2) "0" for Early Closed ELW </t>
  </si>
  <si>
    <t>Year accumulation trading quantity</t>
  </si>
  <si>
    <t>Bond IDB Market Information(SIO)</t>
  </si>
  <si>
    <t>Unit: share (only positive number)</t>
  </si>
  <si>
    <t>Unfaithful disclosure expiry date1</t>
  </si>
  <si>
    <t>* Multicast Group IP &amp; Port Change</t>
  </si>
  <si>
    <t>Current Time (1-minute interval)</t>
  </si>
  <si>
    <t>Investment
warning reason code11</t>
  </si>
  <si>
    <t>Year accumulation trading amount</t>
  </si>
  <si>
    <t>Contract</t>
  </si>
  <si>
    <t>KOSCOM Data</t>
  </si>
  <si>
    <t>UDP methods</t>
  </si>
  <si>
    <t>999999V99(Unit:1 KRW, 1 USD, 1YEN, 1 EURO, 1CNY, 1GBP, 1HKD, 1AUD, 1SGD, miscellaneous)</t>
  </si>
  <si>
    <t>Comparison</t>
  </si>
  <si>
    <t>Low Price</t>
  </si>
  <si>
    <t>Input Date</t>
  </si>
  <si>
    <t>Index ID</t>
  </si>
  <si>
    <t>Average YTM</t>
  </si>
  <si>
    <t>999V99999</t>
  </si>
  <si>
    <t>YYYYMMDD</t>
  </si>
  <si>
    <t>999V99999, FRN</t>
  </si>
  <si>
    <t>233.38.231.167</t>
  </si>
  <si>
    <t>233.38.231.170</t>
  </si>
  <si>
    <t>Polling Data</t>
  </si>
  <si>
    <t>9999999999V99</t>
  </si>
  <si>
    <t>YYYYMMDDHHMMSS</t>
  </si>
  <si>
    <t>KABI Bond Index</t>
  </si>
  <si>
    <t>Message Name</t>
  </si>
  <si>
    <t>233.38.231.89</t>
  </si>
  <si>
    <t>Appraised Value</t>
  </si>
  <si>
    <t>Net bid amount</t>
  </si>
  <si>
    <t>K200 Futures</t>
  </si>
  <si>
    <t xml:space="preserve">"+", "-", " " </t>
  </si>
  <si>
    <t>At around 18:00</t>
  </si>
  <si>
    <t>Process type</t>
  </si>
  <si>
    <t>Batch Type Code</t>
  </si>
  <si>
    <t>KIS Bond Index</t>
  </si>
  <si>
    <t>KSE Small Bonds</t>
  </si>
  <si>
    <t>Equity Options</t>
  </si>
  <si>
    <t>Previous NAV</t>
  </si>
  <si>
    <t>WISEFn Index</t>
  </si>
  <si>
    <t>At around 10:00</t>
  </si>
  <si>
    <t>Equity Futures</t>
  </si>
  <si>
    <t>233.38.231.169</t>
  </si>
  <si>
    <t>Bond A/
128K</t>
  </si>
  <si>
    <t>Operation Time</t>
  </si>
  <si>
    <t>K200 Options</t>
  </si>
  <si>
    <t>DATA category</t>
  </si>
  <si>
    <r>
      <rPr>
        <sz val="8"/>
        <color rgb="FF000000"/>
        <rFont val="굴림"/>
        <family val="3"/>
        <charset val="129"/>
      </rPr>
      <t>□</t>
    </r>
    <r>
      <rPr>
        <sz val="8"/>
        <color rgb="FF000000"/>
        <rFont val="Cambria"/>
        <family val="1"/>
      </rPr>
      <t xml:space="preserve"> First draft </t>
    </r>
  </si>
  <si>
    <t>KEBI Bond Index</t>
  </si>
  <si>
    <t>9(3)V9(3) (%)</t>
  </si>
  <si>
    <t>Decimal Places</t>
  </si>
  <si>
    <t>Bond A/
512K</t>
  </si>
  <si>
    <t>ETF Cu Quantity</t>
  </si>
  <si>
    <t>KRX300 Futures</t>
  </si>
  <si>
    <t>Data Category</t>
  </si>
  <si>
    <t>Operator Code</t>
  </si>
  <si>
    <t>MKF Bond Index</t>
  </si>
  <si>
    <t>Data category</t>
  </si>
  <si>
    <t>Trading date</t>
  </si>
  <si>
    <t>99999V99 Unit:%</t>
  </si>
  <si>
    <t>Standard Date</t>
  </si>
  <si>
    <t>Security rate</t>
  </si>
  <si>
    <t>Average Yield</t>
  </si>
  <si>
    <t>Trading Value</t>
  </si>
  <si>
    <t>Settlement Date</t>
  </si>
  <si>
    <t>233.38.231.120</t>
  </si>
  <si>
    <t>Change Category</t>
  </si>
  <si>
    <t>DATA Category</t>
  </si>
  <si>
    <t>Tracking Error</t>
  </si>
  <si>
    <t>Sequence Number</t>
  </si>
  <si>
    <t>Standard Time</t>
  </si>
  <si>
    <t>233.38.231.30</t>
  </si>
  <si>
    <t>Data Seq-number</t>
  </si>
  <si>
    <t>Disparate Ratio</t>
  </si>
  <si>
    <t>233.38.231.88</t>
  </si>
  <si>
    <t>"+", "-", " "</t>
  </si>
  <si>
    <t>Bond Type Code</t>
  </si>
  <si>
    <t>Opening Price</t>
  </si>
  <si>
    <t>Disclosed Time</t>
  </si>
  <si>
    <t>Closing Price</t>
  </si>
  <si>
    <t>Disclosure Date</t>
  </si>
  <si>
    <t>Yield Change</t>
  </si>
  <si>
    <t>Contract Date</t>
  </si>
  <si>
    <t>Trading volume</t>
  </si>
  <si>
    <t>Data Records</t>
  </si>
  <si>
    <t>Quotes Amount</t>
  </si>
  <si>
    <t>Order Number</t>
  </si>
  <si>
    <t>Registered Time</t>
  </si>
  <si>
    <t>Trading Date</t>
  </si>
  <si>
    <t>Entry Number</t>
  </si>
  <si>
    <t>Pretax Yield</t>
  </si>
  <si>
    <t>Status Category</t>
  </si>
  <si>
    <t>Bond Type Name</t>
  </si>
  <si>
    <t>Trading price</t>
  </si>
  <si>
    <t>Trading Volume</t>
  </si>
  <si>
    <t>Circuit Line</t>
  </si>
  <si>
    <t>Low PriceYield</t>
  </si>
  <si>
    <t>Highest Price</t>
  </si>
  <si>
    <t>Quote number</t>
  </si>
  <si>
    <t>Best bid order</t>
  </si>
  <si>
    <t>Trading number</t>
  </si>
  <si>
    <t>Process date</t>
  </si>
  <si>
    <t>Ask best order</t>
  </si>
  <si>
    <t>Trading time</t>
  </si>
  <si>
    <t>Accum. Records</t>
  </si>
  <si>
    <t>Lift Category</t>
  </si>
  <si>
    <t>Normal: order quantity
Correction/cancellation: 
actual correction/cancellation quantity</t>
  </si>
  <si>
    <t>10:Final Quotes Yield
11:CD_91st day Final Quotes Yield
12:CP_91st day Final Quotes Yield</t>
  </si>
  <si>
    <t>ETF Flow Net Asset total amount</t>
  </si>
  <si>
    <t>No. of wholesale market counted</t>
  </si>
  <si>
    <t>Refer to attached Code table</t>
  </si>
  <si>
    <t>Profit Distribution Basis Date</t>
  </si>
  <si>
    <t>Originally Registered Number</t>
  </si>
  <si>
    <t>During Market hours/Final IV</t>
  </si>
  <si>
    <t>Investment
warning reason code1</t>
  </si>
  <si>
    <t>Composition constituents code</t>
  </si>
  <si>
    <t>Previous ISIN of Replacement</t>
  </si>
  <si>
    <t>Preliminary order closing time</t>
  </si>
  <si>
    <t>Available quantity for order</t>
  </si>
  <si>
    <t>Total Danger Exposure amount</t>
  </si>
  <si>
    <t>Quotes generated time(HHMMSS)</t>
  </si>
  <si>
    <t>Bond IDB Negotiable Quotes(NH0)</t>
  </si>
  <si>
    <t>YYYYMMDD:Previous business date</t>
  </si>
  <si>
    <t>OTC Bond Final Quotes Yield(01)</t>
  </si>
  <si>
    <t>Composition Constituents Code</t>
  </si>
  <si>
    <t>Composition constituents name</t>
  </si>
  <si>
    <t>Transmitting Institution Code</t>
  </si>
  <si>
    <t>Total remaining quantity of ask</t>
  </si>
  <si>
    <t>Composition Issue Market Type</t>
  </si>
  <si>
    <t>Composition constituents number</t>
  </si>
  <si>
    <t>Upper limit price</t>
  </si>
  <si>
    <t>Contract Category</t>
  </si>
  <si>
    <t>Sensitivity - Rho</t>
  </si>
  <si>
    <t>Average Duration</t>
  </si>
  <si>
    <t>Unit: 1,000,000 won</t>
  </si>
  <si>
    <t>Market Price Index</t>
  </si>
  <si>
    <t>Lower limit price</t>
  </si>
  <si>
    <t>1:Normal 2:Amended</t>
  </si>
  <si>
    <t>Average ForwardYTM</t>
  </si>
  <si>
    <t>Refer to Code Table</t>
  </si>
  <si>
    <t>Clean Price Index</t>
  </si>
  <si>
    <t>Market Base Rate</t>
  </si>
  <si>
    <t>Sensitivity - Delta</t>
  </si>
  <si>
    <t>Average Convexity</t>
  </si>
  <si>
    <t>Sensitivity - Gamma</t>
  </si>
  <si>
    <t>Market Data Type</t>
  </si>
  <si>
    <t>1130:AM, 1530:PM</t>
  </si>
  <si>
    <t>Replacement Type</t>
  </si>
  <si>
    <t>Futures Basis Price</t>
  </si>
  <si>
    <t>Quotes Offer Time</t>
  </si>
  <si>
    <t>Total Profit Index</t>
  </si>
  <si>
    <t>Sensitivity - Vega</t>
  </si>
  <si>
    <t>Order Executed Time</t>
  </si>
  <si>
    <t>Process Category</t>
  </si>
  <si>
    <t>Unit:Thousand KRW</t>
  </si>
  <si>
    <t>SPACE set to FILLER</t>
  </si>
  <si>
    <t>Clearing Category</t>
  </si>
  <si>
    <t>Trading Category</t>
  </si>
  <si>
    <t>No. of hogs traded</t>
  </si>
  <si>
    <t>Institution Code</t>
  </si>
  <si>
    <t>Final Clearing Time</t>
  </si>
  <si>
    <t>Ask1 Quotes Yield</t>
  </si>
  <si>
    <t>Bid2 Quotes Yield</t>
  </si>
  <si>
    <t>Previous Day Close</t>
  </si>
  <si>
    <t>Registered Number</t>
  </si>
  <si>
    <t>Data, LINK, RESE</t>
  </si>
  <si>
    <t>Bid3 Quotes Yield</t>
  </si>
  <si>
    <t>Ask3 Quotes Yield</t>
  </si>
  <si>
    <t>Ask2 Quotes Yield</t>
  </si>
  <si>
    <t>Bid4 Quotes Yield</t>
  </si>
  <si>
    <t>Transmission SEQ</t>
  </si>
  <si>
    <t>Occurence Records</t>
  </si>
  <si>
    <t>Average Unit Price</t>
  </si>
  <si>
    <t>Bid1 Quotes Yield</t>
  </si>
  <si>
    <t>Investor Category</t>
  </si>
  <si>
    <t>1 minute intervals</t>
  </si>
  <si>
    <t>Prerequisite Cost</t>
  </si>
  <si>
    <t>Pretax Unit Price</t>
  </si>
  <si>
    <t>Quotes Announced</t>
  </si>
  <si>
    <t>Final Traded Yield</t>
  </si>
  <si>
    <t>Final Traded Volume</t>
  </si>
  <si>
    <t>Opening PriceYield</t>
  </si>
  <si>
    <t>Final Trading Value</t>
  </si>
  <si>
    <t>SecuritiesB/
12M</t>
  </si>
  <si>
    <t>Subscription time</t>
  </si>
  <si>
    <t>Securities C/
12M</t>
  </si>
  <si>
    <t>K-OTC Order Filled</t>
  </si>
  <si>
    <t>Bid quote number</t>
  </si>
  <si>
    <t>Ask5 Quotes Yield</t>
  </si>
  <si>
    <t>Korean Issue name</t>
  </si>
  <si>
    <t>English Issuename</t>
  </si>
  <si>
    <t>Trading halt reason</t>
  </si>
  <si>
    <t>Clear off allowance</t>
  </si>
  <si>
    <t>Bid5 Quotes Yield</t>
  </si>
  <si>
    <t>Ask quote number</t>
  </si>
  <si>
    <t>Announcement time</t>
  </si>
  <si>
    <t>Quotation Category</t>
  </si>
  <si>
    <t>0: normal 1: halt</t>
  </si>
  <si>
    <t>Trading halt Y/N</t>
  </si>
  <si>
    <t>Net bid amount sign</t>
  </si>
  <si>
    <t>Trading basis price</t>
  </si>
  <si>
    <t>Venture Category</t>
  </si>
  <si>
    <t>K200 Weekly Options</t>
  </si>
  <si>
    <t>Ask4 Quotes Yield</t>
  </si>
  <si>
    <t>Issue seq. number</t>
  </si>
  <si>
    <t>Data seq. number</t>
  </si>
  <si>
    <t>K-OTC Market Action</t>
  </si>
  <si>
    <t>ETN Disparate Ratio</t>
  </si>
  <si>
    <t>SPEC Change History</t>
  </si>
  <si>
    <t>END OF TEXT (%HFF)</t>
  </si>
  <si>
    <t>Securities C/ 100M</t>
  </si>
  <si>
    <t>Trading start date</t>
  </si>
  <si>
    <t>Mini K200 Futures</t>
  </si>
  <si>
    <t>END OF TEXT(%HFF)</t>
  </si>
  <si>
    <t>Total bid amount</t>
  </si>
  <si>
    <t>Derivatives A/
12M</t>
  </si>
  <si>
    <t>Previous Day's IV</t>
  </si>
  <si>
    <t>Composition Ratio</t>
  </si>
  <si>
    <t>Total ask quantity</t>
  </si>
  <si>
    <t>CME K200 Futures</t>
  </si>
  <si>
    <t>Securities B/
100M</t>
  </si>
  <si>
    <t>Information Product</t>
  </si>
  <si>
    <t>K-OTC Issue Closing</t>
  </si>
  <si>
    <t>Unit: Securities</t>
  </si>
  <si>
    <t>Ask Trading Volume</t>
  </si>
  <si>
    <t>Final Index Value</t>
  </si>
  <si>
    <t>EUREX K200 Options</t>
  </si>
  <si>
    <t>9(7)V9(2), Unit:%</t>
  </si>
  <si>
    <t>Standard Code(ISIN)</t>
  </si>
  <si>
    <t>Issue limit ratio</t>
  </si>
  <si>
    <t>Bid Trading Value</t>
  </si>
  <si>
    <t>Total ask amount</t>
  </si>
  <si>
    <t xml:space="preserve">Securities A/
12M </t>
  </si>
  <si>
    <t>Transmission Time</t>
  </si>
  <si>
    <t>ETF Tracking Error</t>
  </si>
  <si>
    <t>Derivatives A/
100M</t>
  </si>
  <si>
    <t>K-OTC Issue Batch</t>
  </si>
  <si>
    <t>Composition Rate</t>
  </si>
  <si>
    <t>Mini K200 Options</t>
  </si>
  <si>
    <t>end of text "%HFF"</t>
  </si>
  <si>
    <t>Ask Trading Value</t>
  </si>
  <si>
    <t>Data Seq. number</t>
  </si>
  <si>
    <t>Net bid quantity</t>
  </si>
  <si>
    <t>End of text "%HFF"</t>
  </si>
  <si>
    <t>Total bid quantity</t>
  </si>
  <si>
    <t>Unit: 1,000 shares</t>
  </si>
  <si>
    <t>Sensitivity - Theta</t>
  </si>
  <si>
    <t>Implied volatility</t>
  </si>
  <si>
    <t>Data Source Type</t>
  </si>
  <si>
    <t>Average Forward YTM</t>
  </si>
  <si>
    <t>000:Initial value</t>
  </si>
  <si>
    <t>99V99999999 Unit:%</t>
  </si>
  <si>
    <t>End of text (%HFF)</t>
  </si>
  <si>
    <t>Transmission System</t>
  </si>
  <si>
    <t>Bid Trading Volume</t>
  </si>
  <si>
    <t>Net assets amount</t>
  </si>
  <si>
    <t>End of Text (%HFF)</t>
  </si>
  <si>
    <t>Transmission Info</t>
  </si>
  <si>
    <t>KOSDAQ 150 Futures</t>
  </si>
  <si>
    <t>1:Newly added, 2:Update a current announcemet, 3:Deleted</t>
  </si>
  <si>
    <t>Previous day's non-taxable base price for overseas stocks</t>
  </si>
  <si>
    <t>1:Outstanding Negotiation, 2:T+0, 3:T+1, 4:T+2, ~ 32:T+30</t>
  </si>
  <si>
    <t>Left justified (ex) stock 6-&gt;7, the rest of them are SPACE</t>
  </si>
  <si>
    <t>Except for the second price of replacement order : 00000000</t>
  </si>
  <si>
    <t>OTC Bond Types per Investor
OTC Bond Trades per Institution</t>
  </si>
  <si>
    <t>in case of par value, composition issue code is bond, futures, swap,FX Forward cash amount set:in case cu unit set redemption, possible cash setting is displayed based o etf code, current stock index etf, foreign index-not applicable
eg) in case of gold etf, 100&amp; cash payment is accepted because new setting by bidding the derivative product, which is composed of cu is realistically hard
- in case when composition issue is futures, it may take bid position and
as position-"-" is displayed in case of bid position
eg) in case of bid position : -000000345600000000
in case of ask position : 0000000345600000000
 - if composition issue code is dzz0000001 → unit: won(coverted dollars into won))
 - when composition issue is warehouse warrant, converted amount(krw) will be published.</t>
  </si>
  <si>
    <t>9(3)V9(3)</t>
  </si>
  <si>
    <t>K-OTC Quote</t>
  </si>
  <si>
    <t>9(8)9V9(2)</t>
  </si>
  <si>
    <t>Quotes(HO0)</t>
  </si>
  <si>
    <t>OCCURS 50</t>
  </si>
  <si>
    <t>J8077_HO0</t>
  </si>
  <si>
    <t>Issue code</t>
  </si>
  <si>
    <t>acc. Length</t>
  </si>
  <si>
    <t>Seq. number</t>
  </si>
  <si>
    <t>HHMMSSCCCC</t>
  </si>
  <si>
    <t>MKF Index</t>
  </si>
  <si>
    <t>Contents</t>
  </si>
  <si>
    <t>Unit:Stock</t>
  </si>
  <si>
    <t>Seq-number</t>
  </si>
  <si>
    <t>Expenses</t>
  </si>
  <si>
    <t>Issue Name</t>
  </si>
  <si>
    <t>J8077_SI0</t>
  </si>
  <si>
    <t>Unit:Won</t>
  </si>
  <si>
    <t>9(6)V9(6)</t>
  </si>
  <si>
    <t>J5077_01</t>
  </si>
  <si>
    <t>Data type</t>
  </si>
  <si>
    <t>Unit: KRW</t>
  </si>
  <si>
    <t>Quantity</t>
  </si>
  <si>
    <t>9999999V99</t>
  </si>
  <si>
    <t>Unit: Share</t>
  </si>
  <si>
    <t>Unit : KRW</t>
  </si>
  <si>
    <t>6:10, 6:50</t>
  </si>
  <si>
    <t>J8077_NH0</t>
  </si>
  <si>
    <t>C1077
J7077</t>
  </si>
  <si>
    <t>9(6)V9(4)</t>
  </si>
  <si>
    <t>인터페이스 정의서</t>
  </si>
  <si>
    <t>Multicast</t>
  </si>
  <si>
    <t>IFMIDIP1000</t>
  </si>
  <si>
    <t>End Keyword</t>
  </si>
  <si>
    <t>Bond A/
8M</t>
  </si>
  <si>
    <t>Real-time</t>
  </si>
  <si>
    <t>HHMMSSMM</t>
  </si>
  <si>
    <t>Gold Spot</t>
  </si>
  <si>
    <t>Emissions</t>
  </si>
  <si>
    <t>Equities</t>
  </si>
  <si>
    <t>9(7)V9(2)</t>
  </si>
  <si>
    <t>Branch name</t>
  </si>
  <si>
    <t>Off type</t>
  </si>
  <si>
    <t>Issue type</t>
  </si>
  <si>
    <t>9(3)V9(2)</t>
  </si>
  <si>
    <t>Spot value</t>
  </si>
  <si>
    <t>99999V99999</t>
  </si>
  <si>
    <t>Based FX</t>
  </si>
  <si>
    <t>Par value</t>
  </si>
  <si>
    <t>End of Text</t>
  </si>
  <si>
    <t>Bid Yield</t>
  </si>
  <si>
    <t>9999V9999</t>
  </si>
  <si>
    <t xml:space="preserve">9999999V99 </t>
  </si>
  <si>
    <t>Unit: share</t>
  </si>
  <si>
    <t>Ask4 Quotes</t>
  </si>
  <si>
    <t>Ask3 Quotes</t>
  </si>
  <si>
    <t>Bid1 Quotes</t>
  </si>
  <si>
    <t>Bid3 Quotes</t>
  </si>
  <si>
    <t>Bid4 Quotes</t>
  </si>
  <si>
    <t>Ask5 Quotes</t>
  </si>
  <si>
    <t>Ask1 Quotes</t>
  </si>
  <si>
    <t>Bid2 Quotes</t>
  </si>
  <si>
    <t>Ask2 Quotes</t>
  </si>
  <si>
    <t>Bid5 Quotes</t>
  </si>
  <si>
    <t>Subcategory</t>
  </si>
  <si>
    <t>B:Bid O:Ask</t>
  </si>
  <si>
    <t>High price</t>
  </si>
  <si>
    <t>High Price</t>
  </si>
  <si>
    <t>Low price</t>
  </si>
  <si>
    <t>Unit:KRW</t>
  </si>
  <si>
    <t>Ask Yield</t>
  </si>
  <si>
    <t>FX Category</t>
  </si>
  <si>
    <t>Bid/ask type</t>
  </si>
  <si>
    <t>1: ask, 2:bid</t>
  </si>
  <si>
    <t xml:space="preserve">Message Code </t>
  </si>
  <si>
    <t>Best ask order</t>
  </si>
  <si>
    <t>Shorten code</t>
  </si>
  <si>
    <t>Lowest Price</t>
  </si>
  <si>
    <t>233.38.231.87</t>
  </si>
  <si>
    <t>233.38.231.85</t>
  </si>
  <si>
    <t>Bond IDB Info</t>
  </si>
  <si>
    <t>233.38.231.171</t>
  </si>
  <si>
    <t>High PriceYield</t>
  </si>
  <si>
    <t>Bid best order</t>
  </si>
  <si>
    <t>only for bond etf. date when profit distribution occurs for the following etf.
same value about the special date's duplicate etf code
default : space or "0", yyyymmdd</t>
  </si>
  <si>
    <t>Total weight of hogs traded</t>
  </si>
  <si>
    <t>I:Normal U:Amended D:Cancel</t>
  </si>
  <si>
    <t>Spot Market Info_Lean Hog</t>
  </si>
  <si>
    <t>※Refer to the Code Table</t>
  </si>
  <si>
    <t>Disclosure Type Category</t>
  </si>
  <si>
    <t>Change from Previous Day</t>
  </si>
  <si>
    <t>Accounting closing month</t>
  </si>
  <si>
    <t>Securities company number</t>
  </si>
  <si>
    <t>Compared to previous day</t>
  </si>
  <si>
    <t>Announcement date - Today</t>
  </si>
  <si>
    <t>Market capitalization scale</t>
  </si>
  <si>
    <t>quote number for each issue</t>
  </si>
  <si>
    <t>Issued securities number</t>
  </si>
  <si>
    <t>Bond IDB Quotes(HO0)</t>
  </si>
  <si>
    <t>1~99999999 for check</t>
  </si>
  <si>
    <t>999999.99 ← 999999V99</t>
  </si>
  <si>
    <t>Information category</t>
  </si>
  <si>
    <t>Number of listed stock</t>
  </si>
  <si>
    <t>Composition Issue Name</t>
  </si>
  <si>
    <t>EUREX Mini K200 Futures</t>
  </si>
  <si>
    <t>Information Category</t>
  </si>
  <si>
    <t>Disparate Ratio Sign</t>
  </si>
  <si>
    <t xml:space="preserve">0:funded 1:Unfunded </t>
  </si>
  <si>
    <t>Preliminary order date</t>
  </si>
  <si>
    <t>Individual limit ratio</t>
  </si>
  <si>
    <t>Name of constitution</t>
  </si>
  <si>
    <t>CME USD Futures (night)</t>
  </si>
  <si>
    <t>Name of counterparty</t>
  </si>
  <si>
    <t>OTC Derivatives type</t>
  </si>
  <si>
    <t>Commodities Derivatives</t>
  </si>
  <si>
    <t>Limit exhaustion type</t>
  </si>
  <si>
    <t>SPACE:0, '+':&gt;0, '-':&lt;0</t>
  </si>
  <si>
    <t>Composition issue code</t>
  </si>
  <si>
    <t>Volatility Futures Type</t>
  </si>
  <si>
    <t>Intrinsic volatility</t>
  </si>
  <si>
    <t>I:Normal D:Delete E:End</t>
  </si>
  <si>
    <t>Mid-year lowest date</t>
  </si>
  <si>
    <t>Public offering price</t>
  </si>
  <si>
    <t>Negotiable Quotes(NH0)</t>
  </si>
  <si>
    <t>Disclosure Issue Code</t>
  </si>
  <si>
    <t>Market Information(SIO)</t>
  </si>
  <si>
    <t>1:Bid 2:Ask 3: Trading</t>
  </si>
  <si>
    <t>Previous closing price</t>
  </si>
  <si>
    <t>Order number for all</t>
  </si>
  <si>
    <t>1:Profit rate, 2:Price</t>
  </si>
  <si>
    <t>+ positive "-" negative</t>
  </si>
  <si>
    <t>Traded Bond Type Name</t>
  </si>
  <si>
    <t>Risk Appraisal amount</t>
  </si>
  <si>
    <t>K-OTC Market Operation</t>
  </si>
  <si>
    <t>Sensitivity - Rho sign</t>
  </si>
  <si>
    <t>Information Cateogry</t>
  </si>
  <si>
    <t>Accounting closing type</t>
  </si>
  <si>
    <t>During market/final NAV</t>
  </si>
  <si>
    <t>Interest rate of Call</t>
  </si>
  <si>
    <t>Shorten English name</t>
  </si>
  <si>
    <t>Data Characteristics</t>
  </si>
  <si>
    <t>Mid-year highest date</t>
  </si>
  <si>
    <t>Public offering type</t>
  </si>
  <si>
    <t>Accum. Trading Value</t>
  </si>
  <si>
    <t>Bid3 Quotes Outstanding</t>
  </si>
  <si>
    <t>Bid2 Quotes Outstanding</t>
  </si>
  <si>
    <t>Final Settlement Price</t>
  </si>
  <si>
    <t>Ask Total Outstanding</t>
  </si>
  <si>
    <t>Index business (small)</t>
  </si>
  <si>
    <t>Bid5 Quotes
Outstanding</t>
  </si>
  <si>
    <t>Ask2 Quotes
Outstanding</t>
  </si>
  <si>
    <t>Unfaithful
disclosure</t>
  </si>
  <si>
    <t>Net bid quantity sign</t>
  </si>
  <si>
    <t>Original quote number</t>
  </si>
  <si>
    <t>Bid4 Quotes Outstanding</t>
  </si>
  <si>
    <t>Previous trading amount</t>
  </si>
  <si>
    <t>Ask5 Quotes Outstanding</t>
  </si>
  <si>
    <t>Trading Type Category</t>
  </si>
  <si>
    <t>Original quote price</t>
  </si>
  <si>
    <t>Index business (Large)</t>
  </si>
  <si>
    <t>0:Normal,1:Clear off</t>
  </si>
  <si>
    <t>Ask4 Quotes Outstanding</t>
  </si>
  <si>
    <t>Ask1 Quotes
Outstanding</t>
  </si>
  <si>
    <t>Ask3 Quotes
Outstanding</t>
  </si>
  <si>
    <t>Investment warning Y/N</t>
  </si>
  <si>
    <t>Mid-year highest price</t>
  </si>
  <si>
    <t>Sensitivity - Vega sign</t>
  </si>
  <si>
    <t>Registered applicant</t>
  </si>
  <si>
    <t>Data Process Category</t>
  </si>
  <si>
    <t>Bid Total Outstanding</t>
  </si>
  <si>
    <t>Index business (medium)</t>
  </si>
  <si>
    <t>Accum. Trading Volume</t>
  </si>
  <si>
    <t>Representative price</t>
  </si>
  <si>
    <t>Bid1 Quotes Outstanding</t>
  </si>
  <si>
    <t>Sum of trading volume</t>
  </si>
  <si>
    <t>Mid-year lowest price</t>
  </si>
  <si>
    <t>Sum of Trading Value</t>
  </si>
  <si>
    <t>Sum of trading value</t>
  </si>
  <si>
    <t>Length</t>
  </si>
  <si>
    <t>C1077</t>
  </si>
  <si>
    <t>TR Name</t>
  </si>
  <si>
    <t>9999V99</t>
  </si>
  <si>
    <t>KONEX</t>
  </si>
  <si>
    <t>KOTC</t>
  </si>
  <si>
    <t>K-BOND</t>
  </si>
  <si>
    <t>K6000</t>
  </si>
  <si>
    <t>SPACE</t>
  </si>
  <si>
    <t>단위:원</t>
  </si>
  <si>
    <t>J8077</t>
  </si>
  <si>
    <t>change</t>
  </si>
  <si>
    <t>Others</t>
  </si>
  <si>
    <t>99V999</t>
  </si>
  <si>
    <t xml:space="preserve">KOSDAQ </t>
  </si>
  <si>
    <t>E2000</t>
  </si>
  <si>
    <t>Date</t>
  </si>
  <si>
    <t>HHMMSS</t>
  </si>
  <si>
    <t>H8000_D</t>
  </si>
  <si>
    <t>J6077</t>
  </si>
  <si>
    <t>Details</t>
  </si>
  <si>
    <t>F0013</t>
  </si>
  <si>
    <t>9V9(6)</t>
  </si>
  <si>
    <t>Time</t>
  </si>
  <si>
    <t>Bonds</t>
  </si>
  <si>
    <t>KOSCOM</t>
  </si>
  <si>
    <t>KRW/kg</t>
  </si>
  <si>
    <t>Long</t>
  </si>
  <si>
    <t>F4013</t>
  </si>
  <si>
    <t>Change</t>
  </si>
  <si>
    <t>"00"</t>
  </si>
  <si>
    <t>YIELD</t>
  </si>
  <si>
    <t>F3013</t>
  </si>
  <si>
    <t>Price</t>
  </si>
  <si>
    <t>Hours</t>
  </si>
  <si>
    <t>Volume</t>
  </si>
  <si>
    <t>Remarks</t>
  </si>
  <si>
    <t>HHMMDD</t>
  </si>
  <si>
    <t>F1013</t>
  </si>
  <si>
    <t>J5077</t>
  </si>
  <si>
    <t>F2013</t>
  </si>
  <si>
    <t>Type</t>
  </si>
  <si>
    <t>F5013</t>
  </si>
  <si>
    <t>Issue</t>
  </si>
  <si>
    <t>KOSPI</t>
  </si>
  <si>
    <t>Double</t>
  </si>
  <si>
    <t>String</t>
  </si>
  <si>
    <t>Note</t>
  </si>
  <si>
    <t>Version</t>
  </si>
  <si>
    <t>note</t>
  </si>
  <si>
    <t>Market</t>
  </si>
  <si>
    <t>UDP-MC</t>
  </si>
  <si>
    <t>Reason</t>
  </si>
  <si>
    <t>Sign</t>
  </si>
  <si>
    <t>F803S</t>
  </si>
  <si>
    <t>1.00</t>
  </si>
  <si>
    <t>F501S</t>
  </si>
  <si>
    <t>S304S</t>
  </si>
  <si>
    <t>ISIN</t>
  </si>
  <si>
    <t>A6013</t>
  </si>
  <si>
    <t>TR-CODE</t>
  </si>
  <si>
    <t>송수신
방법</t>
  </si>
  <si>
    <t>I2000</t>
  </si>
  <si>
    <t>F301S</t>
  </si>
  <si>
    <t>N302S</t>
  </si>
  <si>
    <t>A7013</t>
  </si>
  <si>
    <t>Index</t>
  </si>
  <si>
    <t>A3013</t>
  </si>
  <si>
    <t>S204S</t>
  </si>
  <si>
    <t>M803S</t>
  </si>
  <si>
    <t>J7077</t>
  </si>
  <si>
    <t>MMDD</t>
  </si>
  <si>
    <t>A2013</t>
  </si>
  <si>
    <t>G5013</t>
  </si>
  <si>
    <t>F601S</t>
  </si>
  <si>
    <t>F201S</t>
  </si>
  <si>
    <t>Q6000</t>
  </si>
  <si>
    <t>Filler</t>
  </si>
  <si>
    <t>K0000</t>
  </si>
  <si>
    <t>P603S</t>
  </si>
  <si>
    <t>L6000</t>
  </si>
  <si>
    <t>L503S</t>
  </si>
  <si>
    <t>N803S</t>
  </si>
  <si>
    <t>F101S</t>
  </si>
  <si>
    <t>C702S</t>
  </si>
  <si>
    <t>X404S</t>
  </si>
  <si>
    <t>BW03S</t>
  </si>
  <si>
    <t>P3000</t>
  </si>
  <si>
    <t>F401S</t>
  </si>
  <si>
    <t>S104S</t>
  </si>
  <si>
    <t>Q503S</t>
  </si>
  <si>
    <t>P703S</t>
  </si>
  <si>
    <t>L9077</t>
  </si>
  <si>
    <t>H8000_L</t>
  </si>
  <si>
    <t>H8000_E</t>
  </si>
  <si>
    <t>HHMM</t>
  </si>
  <si>
    <t>BV03S</t>
  </si>
  <si>
    <t>A0013</t>
  </si>
  <si>
    <t>E9013</t>
  </si>
  <si>
    <t>O9000</t>
  </si>
  <si>
    <t>OTCB</t>
  </si>
  <si>
    <t>Q403S</t>
  </si>
  <si>
    <t>FILLER</t>
  </si>
  <si>
    <t>YYYYMMDD(applicable date)</t>
  </si>
  <si>
    <t>Minimum Quantity of Call</t>
  </si>
  <si>
    <t>ETF Foreign Net Asset Total</t>
  </si>
  <si>
    <t>1: normal 2: cancellation</t>
  </si>
  <si>
    <t>Security Appraisal amount</t>
  </si>
  <si>
    <t>OTC Bond Types per Investor</t>
  </si>
  <si>
    <t>Transmission seq. number</t>
  </si>
  <si>
    <t>ETF Net Asset Value Amount</t>
  </si>
  <si>
    <t>Available order quantity</t>
  </si>
  <si>
    <t>Sensitivity - Delta sign</t>
  </si>
  <si>
    <t>Index Value in sum of money</t>
  </si>
  <si>
    <t>Risk Appraisal amount rate</t>
  </si>
  <si>
    <t>YYYMMDD:Last business day</t>
  </si>
  <si>
    <t>Composition issue number</t>
  </si>
  <si>
    <t>9999999V99 Unit:Won(KRW)</t>
  </si>
  <si>
    <t>Profit Rate(Quotes/Trading)</t>
  </si>
  <si>
    <t>Sensitivity - Theta sign</t>
  </si>
  <si>
    <t>Unit: Issue(including Cash)</t>
  </si>
  <si>
    <t>OTC Bond Traded Information</t>
  </si>
  <si>
    <t>V-KOSPI200 Index Futures</t>
  </si>
  <si>
    <t>Global ETF Tracking Error</t>
  </si>
  <si>
    <t>Theoretical warrant price</t>
  </si>
  <si>
    <t>Call Re-Investment Index</t>
  </si>
  <si>
    <t>Zero Re-Investment Index</t>
  </si>
  <si>
    <t>Sensitivity - Gamma sign</t>
  </si>
  <si>
    <t>9(6)V9(4) (Standard:100)</t>
  </si>
  <si>
    <t>Previous Day Close Yield</t>
  </si>
  <si>
    <t>9(6)V9(4) (Standard:10,000)</t>
  </si>
  <si>
    <t>1:Normal 2:Amended 3:Cancel</t>
  </si>
  <si>
    <t>00000001~99999999 To check no. of orders</t>
  </si>
  <si>
    <t>KOSPI Line 100M
KOSPI Line 12M</t>
    <phoneticPr fontId="29" type="noConversion"/>
  </si>
  <si>
    <t>KOSDAQ 100M
KOSDAQ 12M</t>
    <phoneticPr fontId="29" type="noConversion"/>
  </si>
  <si>
    <t>Equity Product Line 100M
Equity Product Line 12M</t>
    <phoneticPr fontId="29" type="noConversion"/>
  </si>
  <si>
    <t>Futures Line 100M
Futures Line 12M</t>
    <phoneticPr fontId="29" type="noConversion"/>
  </si>
  <si>
    <t xml:space="preserve">Refer to the sheet "Multicast IP&amp;Port" </t>
    <phoneticPr fontId="29" type="noConversion"/>
  </si>
  <si>
    <t>ALL TR</t>
    <phoneticPr fontId="29" type="noConversion"/>
  </si>
  <si>
    <t>change</t>
    <phoneticPr fontId="29" type="noConversion"/>
  </si>
  <si>
    <t>* 100M information added to KOSPI Line, Equity Product Line, Futures Line
* 8M information added to Bond Line</t>
    <phoneticPr fontId="29" type="noConversion"/>
  </si>
  <si>
    <t>* ETF NAV, ETF estimated NAV removed from KOSPI, 100M information added to Product Line
* Partial changes of TR transmission groups and ports in KOSPI Line, KOSDAQ Line, Bond Line</t>
    <phoneticPr fontId="29" type="noConversion"/>
  </si>
  <si>
    <t>Interface ID</t>
    <phoneticPr fontId="29" type="noConversion"/>
  </si>
  <si>
    <t>IFMIDIP1000</t>
    <phoneticPr fontId="29" type="noConversion"/>
  </si>
  <si>
    <t>F201S</t>
    <phoneticPr fontId="29" type="noConversion"/>
  </si>
  <si>
    <t>J5077_01</t>
    <phoneticPr fontId="29" type="noConversion"/>
  </si>
  <si>
    <t>J8077_NH0</t>
    <phoneticPr fontId="29" type="noConversion"/>
  </si>
  <si>
    <t>J8077_SI0</t>
    <phoneticPr fontId="29" type="noConversion"/>
  </si>
  <si>
    <t>J8077_HO0</t>
    <phoneticPr fontId="29" type="noConversion"/>
  </si>
  <si>
    <t>H8000_D</t>
    <phoneticPr fontId="29" type="noConversion"/>
  </si>
  <si>
    <t>Information Category</t>
    <phoneticPr fontId="29" type="noConversion"/>
  </si>
  <si>
    <t>Data category</t>
    <phoneticPr fontId="29" type="noConversion"/>
  </si>
  <si>
    <t>Change date</t>
  </si>
  <si>
    <t>Change time</t>
  </si>
  <si>
    <t>Basis price before action</t>
  </si>
  <si>
    <t>Upper limit price before action</t>
  </si>
  <si>
    <t>Lower limit price before action</t>
  </si>
  <si>
    <t>Basis price after action</t>
  </si>
  <si>
    <t>Upper limit price after action</t>
  </si>
  <si>
    <t>Lower limit price after action</t>
  </si>
  <si>
    <t>Issue code</t>
    <phoneticPr fontId="29" type="noConversion"/>
  </si>
  <si>
    <t>Standard Code(ISIN)</t>
    <phoneticPr fontId="29" type="noConversion"/>
  </si>
  <si>
    <t>Data Type</t>
    <phoneticPr fontId="29" type="noConversion"/>
  </si>
  <si>
    <t>Data Category</t>
    <phoneticPr fontId="29" type="noConversion"/>
  </si>
  <si>
    <t>ISIN</t>
    <phoneticPr fontId="29" type="noConversion"/>
  </si>
  <si>
    <t>SPACE</t>
    <phoneticPr fontId="29" type="noConversion"/>
  </si>
  <si>
    <t>□ UDP_Multicast IP &amp; Port by Contracts</t>
    <phoneticPr fontId="29" type="noConversion"/>
  </si>
  <si>
    <t>Transmission 
System IP</t>
    <phoneticPr fontId="29" type="noConversion"/>
  </si>
  <si>
    <t>Refer to the sheet "SPEC Details"</t>
  </si>
  <si>
    <t xml:space="preserve">Refer to the sheet "Multicast IP&amp;Port" </t>
    <phoneticPr fontId="29" type="noConversion"/>
  </si>
  <si>
    <t>* Change Bond line Transmission System IP</t>
    <phoneticPr fontId="29" type="noConversion"/>
  </si>
  <si>
    <t>change</t>
    <phoneticPr fontId="29" type="noConversion"/>
  </si>
  <si>
    <t>delete</t>
    <phoneticPr fontId="29" type="noConversion"/>
  </si>
  <si>
    <t>DRV</t>
  </si>
  <si>
    <t>* Delete Item
 - Unfaithful disclosure date OCCURS 5 (A0013)
 - Investment warning OCCURR 15 (A0013)
* Change Itme Name
 - Data category ← DATA Type (H8000_D,...)
 - Data Type ← DATA Type (H8000_D,...)
 - Information Category ← Information Type, Product Category 
 - Market Category ← Market Type
 - ISIN ←Issue Code Issue code, ETF Code, EFT Issue Code, Issue code(isin), ETN Issue Code(ISIN)</t>
    <phoneticPr fontId="29" type="noConversion"/>
  </si>
  <si>
    <t>Spot Market Info_Lean Hog Real-time Price Index_Data</t>
    <phoneticPr fontId="29" type="noConversion"/>
  </si>
  <si>
    <t>OTC Bond Final Quotes Yield(01)</t>
    <phoneticPr fontId="29" type="noConversion"/>
  </si>
  <si>
    <t>Final Quotes Yield</t>
    <phoneticPr fontId="29" type="noConversion"/>
  </si>
  <si>
    <t>K-OTC Foreigner Investment Information For Each Issue(Confirmed Data)</t>
  </si>
  <si>
    <t>K-OTC Foreigner Available Quantity For Order</t>
  </si>
  <si>
    <t>K-OTC Foreigner Preliminary Order Designation/Lift</t>
  </si>
  <si>
    <t>K-OTC Foreigner Confirmed Data Retransmission</t>
  </si>
  <si>
    <t>K-OTC Foreigner Limit Reduction KOSDAQ Trading</t>
  </si>
  <si>
    <t>Interface ID
(Link)</t>
    <phoneticPr fontId="29" type="noConversion"/>
  </si>
  <si>
    <t>* Transmission group removed
 - 233.38.231.31 : Replaced with Bond Line transmission group 233.38.231.173
 - 233.38.231.34 : Replaced with Bond Line transmission group 233.38.231.169
 - 233.38.231.168 : Integrated with transmission group 233.38.231.167</t>
    <phoneticPr fontId="29" type="noConversion"/>
  </si>
  <si>
    <t>03S:ETF</t>
    <phoneticPr fontId="29" type="noConversion"/>
  </si>
  <si>
    <t>04S:ETN</t>
    <phoneticPr fontId="29" type="noConversion"/>
  </si>
  <si>
    <t>077:OTC Bond</t>
    <phoneticPr fontId="29" type="noConversion"/>
  </si>
  <si>
    <t>000:COMMON</t>
    <phoneticPr fontId="29" type="noConversion"/>
  </si>
  <si>
    <t>02S:ELW</t>
    <phoneticPr fontId="29" type="noConversion"/>
  </si>
  <si>
    <t>013: K-OTC</t>
    <phoneticPr fontId="29" type="noConversion"/>
  </si>
  <si>
    <t>DATA Small Category</t>
    <phoneticPr fontId="29" type="noConversion"/>
  </si>
  <si>
    <t>Original Sequence Number</t>
    <phoneticPr fontId="29" type="noConversion"/>
  </si>
  <si>
    <t>Sequence Number</t>
    <phoneticPr fontId="29" type="noConversion"/>
  </si>
  <si>
    <t>Sequence Number ← ISIN</t>
    <phoneticPr fontId="29" type="noConversion"/>
  </si>
  <si>
    <t>L9077</t>
    <phoneticPr fontId="29" type="noConversion"/>
  </si>
  <si>
    <t>Item Name</t>
    <phoneticPr fontId="29" type="noConversion"/>
  </si>
  <si>
    <t>Data
Type</t>
    <phoneticPr fontId="29" type="noConversion"/>
  </si>
  <si>
    <t>Length</t>
    <phoneticPr fontId="29" type="noConversion"/>
  </si>
  <si>
    <t>Spot Market Info_Lean Hog Representative Price Index</t>
    <phoneticPr fontId="29" type="noConversion"/>
  </si>
  <si>
    <t>2: KRX trading situation 
3: KRX settlement situation 
9: Kosdaq trading situation 
0: Kosdaq settlement situation
5: Konex trading situation
6: Konex settlement situation</t>
    <phoneticPr fontId="29" type="noConversion"/>
  </si>
  <si>
    <t>01S:Kospi 01Q:Kosdaq 01X:Konex</t>
    <phoneticPr fontId="29" type="noConversion"/>
  </si>
  <si>
    <t>* TR Size change : 50 → 77
 - Index ID field size change: 3 → 6
 - ISIN field new: 12
 - index, change field size change: 8 → 9
 - Trading Volume, Trading Value field size change : 8 → 12
 - filler field size change : 2 → 4</t>
    <phoneticPr fontId="29" type="noConversion"/>
  </si>
  <si>
    <t>Bond Foreigner Preliminary Order Designation/Lift</t>
    <phoneticPr fontId="29" type="noConversion"/>
  </si>
  <si>
    <t>Bond Foreigner Limit Reduction KOSDAQ Trading</t>
    <phoneticPr fontId="29" type="noConversion"/>
  </si>
  <si>
    <t>Transmission Time</t>
    <phoneticPr fontId="29" type="noConversion"/>
  </si>
  <si>
    <t>Real-time</t>
    <phoneticPr fontId="29" type="noConversion"/>
  </si>
  <si>
    <t>Refer to the sheet "Message List"
Refer to the sheet "SPEC Details"</t>
    <phoneticPr fontId="29" type="noConversion"/>
  </si>
  <si>
    <t>* Change Message List sheet
 - New Nessage F300B, F500B
 - Change Transmission Time &amp; Batch Type Code value : F201S~F500B
* Change SPEC Details sheet 
 - Change column position : Data Type, Length
 - Merge column Information Category &amp; Market Category 
 - Change Item Name : message L9077's  6 &amp; 7 line
 - Change Information Category : 907 → 00B</t>
    <phoneticPr fontId="29" type="noConversion"/>
  </si>
  <si>
    <t>233.38.231.60</t>
    <phoneticPr fontId="29" type="noConversion"/>
  </si>
  <si>
    <t>233.38.231.32</t>
    <phoneticPr fontId="29" type="noConversion"/>
  </si>
  <si>
    <t>233.38.231.90</t>
    <phoneticPr fontId="29" type="noConversion"/>
  </si>
  <si>
    <t>233.38.231.173</t>
    <phoneticPr fontId="29" type="noConversion"/>
  </si>
  <si>
    <t>skip</t>
    <phoneticPr fontId="29" type="noConversion"/>
  </si>
  <si>
    <t>Production Port</t>
    <phoneticPr fontId="29" type="noConversion"/>
  </si>
  <si>
    <t>Test Port</t>
    <phoneticPr fontId="29" type="noConversion"/>
  </si>
  <si>
    <t>Retransmission Port</t>
    <phoneticPr fontId="29" type="noConversion"/>
  </si>
  <si>
    <t xml:space="preserve">* Multicast IP &amp; Port  sheet
 - Change Production Port, Test Port, Retransmission Port </t>
    <phoneticPr fontId="29" type="noConversion"/>
  </si>
  <si>
    <t>Refer to the sheet "Multicast IP &amp; Port"</t>
    <phoneticPr fontId="29" type="noConversion"/>
  </si>
  <si>
    <t>Long</t>
    <phoneticPr fontId="29" type="noConversion"/>
  </si>
  <si>
    <t>Double</t>
    <phoneticPr fontId="29" type="noConversion"/>
  </si>
  <si>
    <t>J8077_DT0</t>
    <phoneticPr fontId="29" type="noConversion"/>
  </si>
  <si>
    <t>J8077_CH0</t>
    <phoneticPr fontId="29" type="noConversion"/>
  </si>
  <si>
    <t>J8077_BG0</t>
    <phoneticPr fontId="29" type="noConversion"/>
  </si>
  <si>
    <t>J8077_ED0</t>
    <phoneticPr fontId="29" type="noConversion"/>
  </si>
  <si>
    <t>DATA, LINK, RESE</t>
  </si>
  <si>
    <t>DT0</t>
    <phoneticPr fontId="29" type="noConversion"/>
  </si>
  <si>
    <t>String</t>
    <phoneticPr fontId="29" type="noConversion"/>
  </si>
  <si>
    <t>YYYYMMDD</t>
    <phoneticPr fontId="29" type="noConversion"/>
  </si>
  <si>
    <t>CH0</t>
    <phoneticPr fontId="29" type="noConversion"/>
  </si>
  <si>
    <t>hhmmsscccc</t>
    <phoneticPr fontId="29" type="noConversion"/>
  </si>
  <si>
    <t>99V999</t>
    <phoneticPr fontId="29" type="noConversion"/>
  </si>
  <si>
    <t>전일대비수익율</t>
    <phoneticPr fontId="29" type="noConversion"/>
  </si>
  <si>
    <t>전일대비단가</t>
    <phoneticPr fontId="29" type="noConversion"/>
  </si>
  <si>
    <t>BG0</t>
    <phoneticPr fontId="29" type="noConversion"/>
  </si>
  <si>
    <t>ED0</t>
    <phoneticPr fontId="29" type="noConversion"/>
  </si>
  <si>
    <t>Bond IDB Quotes(HO0)</t>
    <phoneticPr fontId="29" type="noConversion"/>
  </si>
  <si>
    <t>Begin(BG0)</t>
    <phoneticPr fontId="29" type="noConversion"/>
  </si>
  <si>
    <t>End(ED0)</t>
    <phoneticPr fontId="29" type="noConversion"/>
  </si>
  <si>
    <t>* J8077 SPEC, which had been erased, are added: Settlement date, Order Filled, Opening, Closing info.</t>
    <phoneticPr fontId="29" type="noConversion"/>
  </si>
  <si>
    <t>Bond IDB Info.-Settlement date info.</t>
    <phoneticPr fontId="29" type="noConversion"/>
  </si>
  <si>
    <t>Settlement date info.(DT0)</t>
    <phoneticPr fontId="29" type="noConversion"/>
  </si>
  <si>
    <t>Bond IDB Info-Order Filled</t>
    <phoneticPr fontId="29" type="noConversion"/>
  </si>
  <si>
    <t>Order Filled(CH0)</t>
    <phoneticPr fontId="29" type="noConversion"/>
  </si>
  <si>
    <t>Bond IDB Info Opening</t>
    <phoneticPr fontId="29" type="noConversion"/>
  </si>
  <si>
    <t>Bond IDB Info Closing</t>
    <phoneticPr fontId="29" type="noConversion"/>
  </si>
  <si>
    <t>Bond IDB Settlement date info.(DT0)</t>
  </si>
  <si>
    <t>Numbers of settlement types to be transmitted</t>
    <phoneticPr fontId="29" type="noConversion"/>
  </si>
  <si>
    <t>Settlement type</t>
  </si>
  <si>
    <t>1:Today</t>
    <phoneticPr fontId="29" type="noConversion"/>
  </si>
  <si>
    <t>Settlement date</t>
  </si>
  <si>
    <t>2:Next day</t>
    <phoneticPr fontId="29" type="noConversion"/>
  </si>
  <si>
    <t>3: +3day</t>
    <phoneticPr fontId="29" type="noConversion"/>
  </si>
  <si>
    <t>4: +4day</t>
    <phoneticPr fontId="29" type="noConversion"/>
  </si>
  <si>
    <t>5: +5day</t>
    <phoneticPr fontId="29" type="noConversion"/>
  </si>
  <si>
    <t>6: +6day</t>
    <phoneticPr fontId="29" type="noConversion"/>
  </si>
  <si>
    <t>7: +7day</t>
    <phoneticPr fontId="29" type="noConversion"/>
  </si>
  <si>
    <t>8: +8day</t>
    <phoneticPr fontId="29" type="noConversion"/>
  </si>
  <si>
    <t>Bond IDB Order-filled(CH0)</t>
  </si>
  <si>
    <t>Order number.</t>
    <phoneticPr fontId="29" type="noConversion"/>
  </si>
  <si>
    <t>Trade number(all)</t>
    <phoneticPr fontId="29" type="noConversion"/>
  </si>
  <si>
    <t>Order time</t>
    <phoneticPr fontId="29" type="noConversion"/>
  </si>
  <si>
    <t>Process category</t>
    <phoneticPr fontId="29" type="noConversion"/>
  </si>
  <si>
    <t>I:Normal, U:Amended, D:Cancel</t>
    <phoneticPr fontId="29" type="noConversion"/>
  </si>
  <si>
    <t>Buyer category code</t>
    <phoneticPr fontId="29" type="noConversion"/>
  </si>
  <si>
    <t>Exchange Standard firm category code</t>
    <phoneticPr fontId="29" type="noConversion"/>
  </si>
  <si>
    <t>Seller category code</t>
    <phoneticPr fontId="29" type="noConversion"/>
  </si>
  <si>
    <t>Standard code</t>
    <phoneticPr fontId="29" type="noConversion"/>
  </si>
  <si>
    <t>Quantity</t>
    <phoneticPr fontId="29" type="noConversion"/>
  </si>
  <si>
    <t>Yield</t>
    <phoneticPr fontId="29" type="noConversion"/>
  </si>
  <si>
    <t>Unit price(contract)</t>
    <phoneticPr fontId="29" type="noConversion"/>
  </si>
  <si>
    <t>Trading price</t>
    <phoneticPr fontId="29" type="noConversion"/>
  </si>
  <si>
    <t>Settlement type</t>
    <phoneticPr fontId="29" type="noConversion"/>
  </si>
  <si>
    <t>1: Today, 2:Next day, 3: +3 day, … 8: +8 day, 9: other</t>
    <phoneticPr fontId="29" type="noConversion"/>
  </si>
  <si>
    <t>Settlement date</t>
    <phoneticPr fontId="29" type="noConversion"/>
  </si>
  <si>
    <t>Bond IDB Open(BG0)</t>
  </si>
  <si>
    <t>Bond IDB Close(ED0)</t>
  </si>
  <si>
    <t>0: KOSPI(Including cash,KSP200T00001,FKSP200T0001) 1:KOSDAQ 2: Others 3:Bond 4: Futures 2010.04.09 5: spot</t>
    <phoneticPr fontId="29" type="noConversion"/>
  </si>
  <si>
    <t>99999V999 Unit: KRW</t>
    <phoneticPr fontId="29" type="noConversion"/>
  </si>
  <si>
    <t>Public Information ISIN</t>
    <phoneticPr fontId="29" type="noConversion"/>
  </si>
  <si>
    <t>Public Information Total Page seq. Index</t>
    <phoneticPr fontId="29" type="noConversion"/>
  </si>
  <si>
    <t>Public Information per Page ISIN</t>
    <phoneticPr fontId="29" type="noConversion"/>
  </si>
  <si>
    <t>Public Information Date</t>
    <phoneticPr fontId="29" type="noConversion"/>
  </si>
  <si>
    <t>Transmission Date</t>
    <phoneticPr fontId="29" type="noConversion"/>
  </si>
  <si>
    <t>Announcement Market Category</t>
    <phoneticPr fontId="29" type="noConversion"/>
  </si>
  <si>
    <t>Type Name</t>
    <phoneticPr fontId="29" type="noConversion"/>
  </si>
  <si>
    <t>Process</t>
    <phoneticPr fontId="29" type="noConversion"/>
  </si>
  <si>
    <t>Reason</t>
    <phoneticPr fontId="29" type="noConversion"/>
  </si>
  <si>
    <t>Korean/English Category</t>
    <phoneticPr fontId="29" type="noConversion"/>
  </si>
  <si>
    <t>Announcement Title</t>
    <phoneticPr fontId="29" type="noConversion"/>
  </si>
  <si>
    <t>Announcement Detail</t>
    <phoneticPr fontId="29" type="noConversion"/>
  </si>
  <si>
    <t>Listing Status</t>
    <phoneticPr fontId="29" type="noConversion"/>
  </si>
  <si>
    <t>Announcement Contents Listed Status</t>
    <phoneticPr fontId="29" type="noConversion"/>
  </si>
  <si>
    <t>Security Code Number</t>
    <phoneticPr fontId="29" type="noConversion"/>
  </si>
  <si>
    <t>Yearly ※ SPEC Guide Reference 2</t>
    <phoneticPr fontId="29" type="noConversion"/>
  </si>
  <si>
    <t>K: K-OTC</t>
    <phoneticPr fontId="29" type="noConversion"/>
  </si>
  <si>
    <t>1: Normal 2:Revision 3:Deleted</t>
    <phoneticPr fontId="29" type="noConversion"/>
  </si>
  <si>
    <t>1:Korean</t>
    <phoneticPr fontId="29" type="noConversion"/>
  </si>
  <si>
    <t>TEXT Format</t>
    <phoneticPr fontId="29" type="noConversion"/>
  </si>
  <si>
    <t>HTML Format</t>
    <phoneticPr fontId="29" type="noConversion"/>
  </si>
  <si>
    <t>N:unused</t>
    <phoneticPr fontId="29" type="noConversion"/>
  </si>
  <si>
    <t>"00":unused</t>
    <phoneticPr fontId="29" type="noConversion"/>
  </si>
  <si>
    <r>
      <rPr>
        <sz val="9"/>
        <rFont val="D2Coding"/>
        <family val="3"/>
        <charset val="129"/>
      </rPr>
      <t>※</t>
    </r>
    <r>
      <rPr>
        <sz val="9"/>
        <rFont val="맑은 고딕"/>
        <family val="3"/>
        <charset val="129"/>
      </rPr>
      <t xml:space="preserve"> Refer to 'K-OTC Public Disclosure reason code"</t>
    </r>
    <phoneticPr fontId="29" type="noConversion"/>
  </si>
  <si>
    <t>K-OTC Public Disclosure Batch</t>
    <phoneticPr fontId="29" type="noConversion"/>
  </si>
  <si>
    <t>WISEFn Index
KIS Index</t>
    <phoneticPr fontId="29" type="noConversion"/>
  </si>
  <si>
    <t>KIS Index</t>
    <phoneticPr fontId="29" type="noConversion"/>
  </si>
  <si>
    <t>BP000</t>
    <phoneticPr fontId="29" type="noConversion"/>
  </si>
  <si>
    <t>P3000</t>
    <phoneticPr fontId="29" type="noConversion"/>
  </si>
  <si>
    <t>BP</t>
    <phoneticPr fontId="29" type="noConversion"/>
  </si>
  <si>
    <t>F0013</t>
    <phoneticPr fontId="29" type="noConversion"/>
  </si>
  <si>
    <t>K-OTC Public Disclosure real-time</t>
    <phoneticPr fontId="29" type="noConversion"/>
  </si>
  <si>
    <t>K-OTC Public Disclosure Batch</t>
    <phoneticPr fontId="29" type="noConversion"/>
  </si>
  <si>
    <t>END OF TEXT (%HFF)</t>
    <phoneticPr fontId="29" type="noConversion"/>
  </si>
  <si>
    <t>E9013</t>
    <phoneticPr fontId="29" type="noConversion"/>
  </si>
  <si>
    <t>F0013</t>
    <phoneticPr fontId="29" type="noConversion"/>
  </si>
  <si>
    <t>K-OTC Public Disclosure real-time</t>
    <phoneticPr fontId="29" type="noConversion"/>
  </si>
  <si>
    <t>Message Name</t>
    <phoneticPr fontId="29" type="noConversion"/>
  </si>
  <si>
    <t>* Spec Change
 - E9013 : K-OTC Public Disclosure Batch, 
 - F0013 : K-OTC Public Disclosure
* Multicast IP &amp; Port Change : P3000 ( 233.38.231.31 → 233.38.231.36)
* New Message : BP000(KIS Index)</t>
    <phoneticPr fontId="29" type="noConversion"/>
  </si>
  <si>
    <t>* Spec Change
 - OTC Bond Primary Dealer Final Quotes(03) Discontinued transmission (J5077_03)
 - Application date: 2023.01.02(Mon)
* New Spec
 - O5000 : MSCI KOREA Index</t>
    <phoneticPr fontId="29" type="noConversion"/>
  </si>
  <si>
    <t>233.38.231.36</t>
    <phoneticPr fontId="29" type="noConversion"/>
  </si>
  <si>
    <t>A2013
A3013
A6013
A7013
A0013
E9013
F0013
G5013</t>
    <phoneticPr fontId="29" type="noConversion"/>
  </si>
  <si>
    <t>K-OTC Market Action</t>
    <phoneticPr fontId="29" type="noConversion"/>
  </si>
  <si>
    <t>K-OTC Quote
K-OTC Order Filled
K-OTC Issue Closing
K-OTC Market Operation
K-OTC Issue Batch
K-OTC Public Disclosure Batch
K-OTC Public Disclosure
K-OTC Market Action</t>
    <phoneticPr fontId="29" type="noConversion"/>
  </si>
  <si>
    <t>change</t>
    <phoneticPr fontId="29" type="noConversion"/>
  </si>
  <si>
    <t>01S:Kospi 01Q:Kosdaq 01X:Konex 013:K-OTC 00B:Bond</t>
    <phoneticPr fontId="29" type="noConversion"/>
  </si>
  <si>
    <t>Price (Quotes/Trading)</t>
    <phoneticPr fontId="29" type="noConversion"/>
  </si>
  <si>
    <t>Office Consignment company's registration number</t>
    <phoneticPr fontId="29" type="noConversion"/>
  </si>
  <si>
    <t>S204S</t>
    <phoneticPr fontId="29" type="noConversion"/>
  </si>
  <si>
    <t>M803S</t>
    <phoneticPr fontId="29" type="noConversion"/>
  </si>
  <si>
    <t>F803S</t>
    <phoneticPr fontId="29" type="noConversion"/>
  </si>
  <si>
    <t>Q403S</t>
    <phoneticPr fontId="29" type="noConversion"/>
  </si>
  <si>
    <t>- M803S : Fiduciary/Trustee Company Registry Number
  → Office Consignment company's registration number
- F803S,Q403S,Q503S : Transfer agent number
  → Office Consignment company's registration number
- New Office Consignment company's registration number: (906)WOORI FUND SERVICES</t>
    <phoneticPr fontId="29" type="noConversion"/>
  </si>
  <si>
    <t>* Spec Change
 - New Office Consignment company's registration number (TR: F803S, M803S)
 - Change Item Name (TR: F803S,M803S,Q403S,Q503S)
 - New TR : NicePNI Bond Index (CE000), NicePNI Bond Index Constituents(CF077)
 - Application date: 2023.04.10(Mon)</t>
    <phoneticPr fontId="29" type="noConversion"/>
  </si>
  <si>
    <t>NicePNI Bond Index</t>
    <phoneticPr fontId="29" type="noConversion"/>
  </si>
  <si>
    <t>CE000</t>
    <phoneticPr fontId="29" type="noConversion"/>
  </si>
  <si>
    <t>CE000</t>
    <phoneticPr fontId="29" type="noConversion"/>
  </si>
  <si>
    <t>CE</t>
    <phoneticPr fontId="29" type="noConversion"/>
  </si>
  <si>
    <t>F101S
F101Q
F1013
F101X
F1907
F201S
F201Q
F2013
F201X
F2907
F301S
F301Q
F3013
F301X
F401S
F401Q
F4013
F401X
F501S
F501Q
F5013
F501X
F601S
F601Q
F601X</t>
    <phoneticPr fontId="29" type="noConversion"/>
  </si>
  <si>
    <t>E2000
O9000</t>
    <phoneticPr fontId="29" type="noConversion"/>
  </si>
  <si>
    <t>P3000
BP000</t>
    <phoneticPr fontId="29" type="noConversion"/>
  </si>
  <si>
    <t>L503S
P703S</t>
    <phoneticPr fontId="29" type="noConversion"/>
  </si>
  <si>
    <t>C702S</t>
    <phoneticPr fontId="29" type="noConversion"/>
  </si>
  <si>
    <t>N302S</t>
    <phoneticPr fontId="29" type="noConversion"/>
  </si>
  <si>
    <t>S304S</t>
    <phoneticPr fontId="29" type="noConversion"/>
  </si>
  <si>
    <t>H8000</t>
    <phoneticPr fontId="29" type="noConversion"/>
  </si>
  <si>
    <t>H8000</t>
    <phoneticPr fontId="29" type="noConversion"/>
  </si>
  <si>
    <t>F101S</t>
    <phoneticPr fontId="29" type="noConversion"/>
  </si>
  <si>
    <t>F101Q</t>
    <phoneticPr fontId="29" type="noConversion"/>
  </si>
  <si>
    <t>F101X</t>
    <phoneticPr fontId="29" type="noConversion"/>
  </si>
  <si>
    <t>F100B</t>
    <phoneticPr fontId="29" type="noConversion"/>
  </si>
  <si>
    <t>F201S</t>
    <phoneticPr fontId="29" type="noConversion"/>
  </si>
  <si>
    <t>F201Q</t>
    <phoneticPr fontId="29" type="noConversion"/>
  </si>
  <si>
    <t>F201X</t>
    <phoneticPr fontId="29" type="noConversion"/>
  </si>
  <si>
    <t>F200B</t>
    <phoneticPr fontId="29" type="noConversion"/>
  </si>
  <si>
    <t>F301S</t>
    <phoneticPr fontId="29" type="noConversion"/>
  </si>
  <si>
    <t>F301Q</t>
    <phoneticPr fontId="29" type="noConversion"/>
  </si>
  <si>
    <t>F301X</t>
    <phoneticPr fontId="29" type="noConversion"/>
  </si>
  <si>
    <t>F300B</t>
    <phoneticPr fontId="29" type="noConversion"/>
  </si>
  <si>
    <t>F401S</t>
    <phoneticPr fontId="29" type="noConversion"/>
  </si>
  <si>
    <t>F401Q</t>
    <phoneticPr fontId="29" type="noConversion"/>
  </si>
  <si>
    <t>F401X</t>
    <phoneticPr fontId="29" type="noConversion"/>
  </si>
  <si>
    <t>F400B</t>
    <phoneticPr fontId="29" type="noConversion"/>
  </si>
  <si>
    <t>F501S</t>
    <phoneticPr fontId="29" type="noConversion"/>
  </si>
  <si>
    <t>F501Q</t>
    <phoneticPr fontId="29" type="noConversion"/>
  </si>
  <si>
    <t>F501X</t>
    <phoneticPr fontId="29" type="noConversion"/>
  </si>
  <si>
    <t>F500B</t>
    <phoneticPr fontId="29" type="noConversion"/>
  </si>
  <si>
    <t>F601S</t>
    <phoneticPr fontId="29" type="noConversion"/>
  </si>
  <si>
    <t>F601Q</t>
    <phoneticPr fontId="29" type="noConversion"/>
  </si>
  <si>
    <t>F601X</t>
    <phoneticPr fontId="29" type="noConversion"/>
  </si>
  <si>
    <t>BV03S</t>
    <phoneticPr fontId="29" type="noConversion"/>
  </si>
  <si>
    <t>BW03S</t>
    <phoneticPr fontId="29" type="noConversion"/>
  </si>
  <si>
    <t>L503S</t>
    <phoneticPr fontId="29" type="noConversion"/>
  </si>
  <si>
    <t>P603S</t>
    <phoneticPr fontId="29" type="noConversion"/>
  </si>
  <si>
    <t>P703S</t>
    <phoneticPr fontId="29" type="noConversion"/>
  </si>
  <si>
    <t>Q503S</t>
    <phoneticPr fontId="29" type="noConversion"/>
  </si>
  <si>
    <t>S104S</t>
    <phoneticPr fontId="29" type="noConversion"/>
  </si>
  <si>
    <t>S304S</t>
    <phoneticPr fontId="29" type="noConversion"/>
  </si>
  <si>
    <t>X404S</t>
    <phoneticPr fontId="29" type="noConversion"/>
  </si>
  <si>
    <t>N302S</t>
    <phoneticPr fontId="29" type="noConversion"/>
  </si>
  <si>
    <t>E2000</t>
    <phoneticPr fontId="29" type="noConversion"/>
  </si>
  <si>
    <t>O9000</t>
    <phoneticPr fontId="29" type="noConversion"/>
  </si>
  <si>
    <t>K0000</t>
    <phoneticPr fontId="29" type="noConversion"/>
  </si>
  <si>
    <t>K6000</t>
    <phoneticPr fontId="29" type="noConversion"/>
  </si>
  <si>
    <t>L6000</t>
    <phoneticPr fontId="29" type="noConversion"/>
  </si>
  <si>
    <t>Q6000</t>
    <phoneticPr fontId="29" type="noConversion"/>
  </si>
  <si>
    <t>Multicast Group IP</t>
    <phoneticPr fontId="29" type="noConversion"/>
  </si>
  <si>
    <t>- Deleted Multicast Group IP (233.38.231.114)</t>
    <phoneticPr fontId="29" type="noConversion"/>
  </si>
  <si>
    <t>233.38.231.86</t>
    <phoneticPr fontId="29" type="noConversion"/>
  </si>
  <si>
    <t>ETN Index Composition Constituents</t>
    <phoneticPr fontId="29" type="noConversion"/>
  </si>
  <si>
    <t>- ETN Index Composition Constituents(S204S)</t>
    <phoneticPr fontId="29" type="noConversion"/>
  </si>
  <si>
    <t>- Add Office Consignment company's registration number</t>
    <phoneticPr fontId="29" type="noConversion"/>
  </si>
  <si>
    <t>Add Korea Fund Partners (049)</t>
    <phoneticPr fontId="29" type="noConversion"/>
  </si>
  <si>
    <t>Multicast</t>
    <phoneticPr fontId="29" type="noConversion"/>
  </si>
  <si>
    <t>233.38.231.35</t>
    <phoneticPr fontId="29" type="noConversion"/>
  </si>
  <si>
    <t>CC000</t>
    <phoneticPr fontId="29" type="noConversion"/>
  </si>
  <si>
    <t>CC000</t>
  </si>
  <si>
    <t>CC000</t>
    <phoneticPr fontId="29" type="noConversion"/>
  </si>
  <si>
    <t>Real-time</t>
    <phoneticPr fontId="29" type="noConversion"/>
  </si>
  <si>
    <t>O</t>
    <phoneticPr fontId="29" type="noConversion"/>
  </si>
  <si>
    <t>STK</t>
    <phoneticPr fontId="29" type="noConversion"/>
  </si>
  <si>
    <t>●</t>
    <phoneticPr fontId="29" type="noConversion"/>
  </si>
  <si>
    <t>"CC"</t>
  </si>
  <si>
    <t>종목코드</t>
  </si>
  <si>
    <t>업무코드</t>
  </si>
  <si>
    <t>대주가능수량</t>
  </si>
  <si>
    <t>9(10)</t>
  </si>
  <si>
    <t>정보분배메세지종료키워드</t>
  </si>
  <si>
    <t>Loan transaction available quantity public disclosure</t>
    <phoneticPr fontId="29" type="noConversion"/>
  </si>
  <si>
    <t>UDP-MC</t>
    <phoneticPr fontId="29" type="noConversion"/>
  </si>
  <si>
    <t>Standard Code(ISIN)</t>
    <phoneticPr fontId="29" type="noConversion"/>
  </si>
  <si>
    <t>Loan transaction available quantity public disclosure</t>
    <phoneticPr fontId="29" type="noConversion"/>
  </si>
  <si>
    <t>001: Loan transaction available quantity public disclosure
002: Loan transaction available quantity public disclosure(first)</t>
    <phoneticPr fontId="29" type="noConversion"/>
  </si>
  <si>
    <t>END OF TEXT (%HFF)</t>
    <phoneticPr fontId="29" type="noConversion"/>
  </si>
  <si>
    <t>Add Shinhan Fund Partners (905)</t>
    <phoneticPr fontId="29" type="noConversion"/>
  </si>
  <si>
    <t>Add Hana Fund Service (907)</t>
    <phoneticPr fontId="29" type="noConversion"/>
  </si>
  <si>
    <t>* Deleted Bond Index Constituents</t>
    <phoneticPr fontId="29" type="noConversion"/>
  </si>
  <si>
    <t>K-OTC Issue Batch</t>
    <phoneticPr fontId="29" type="noConversion"/>
  </si>
  <si>
    <t>- MKF Bond Index Constituents(K7077)
- KIS Bond Index Constituents(L7077)
- KABI Bond Index Constituents(Q7077)
- NicePNI Bond Index Constituents(CF077)</t>
    <phoneticPr fontId="29" type="noConversion"/>
  </si>
  <si>
    <t>Market Alert_Type Code</t>
    <phoneticPr fontId="29" type="noConversion"/>
  </si>
  <si>
    <t>00: N/A (None of items chosen for those may notified market warning) 
01: Investment Warning
02: Investment Alert 
03: Investment Danger</t>
    <phoneticPr fontId="29" type="noConversion"/>
  </si>
  <si>
    <t>- K-OTC Issue Batch(A0013)</t>
    <phoneticPr fontId="29" type="noConversion"/>
  </si>
  <si>
    <t>* New Office Consignment company's registration number</t>
    <phoneticPr fontId="29" type="noConversion"/>
  </si>
  <si>
    <t>Risk Appraisement Information on Synthetic ETF Daily Trade-Party</t>
    <phoneticPr fontId="29" type="noConversion"/>
  </si>
  <si>
    <t>Synthetic ETF Basic Index Composition Constituents</t>
    <phoneticPr fontId="29" type="noConversion"/>
  </si>
  <si>
    <t>- ETF PDF(F803S)
- ETF Operator Information(M803S)
- Risk Appraisement Information on Synthetic ETF Daily Trade-Party(Q403S)
- Synthetic ETF Basic Index Composition Constituents(Q503S)</t>
    <phoneticPr fontId="29" type="noConversion"/>
  </si>
  <si>
    <t>- Add Market Alert_Type Code</t>
    <phoneticPr fontId="29" type="noConversion"/>
  </si>
  <si>
    <t>New</t>
    <phoneticPr fontId="29" type="noConversion"/>
  </si>
  <si>
    <t>09:00~16:30
→ 09:00~02:00</t>
    <phoneticPr fontId="29" type="noConversion"/>
  </si>
  <si>
    <t>O</t>
    <phoneticPr fontId="36" type="noConversion"/>
  </si>
  <si>
    <t>DRV</t>
    <phoneticPr fontId="36" type="noConversion"/>
  </si>
  <si>
    <t>H906F</t>
    <phoneticPr fontId="29" type="noConversion"/>
  </si>
  <si>
    <t>I006F_FBB1</t>
    <phoneticPr fontId="29" type="noConversion"/>
  </si>
  <si>
    <t>DRV</t>
    <phoneticPr fontId="29" type="noConversion"/>
  </si>
  <si>
    <t>I006F_FBB2</t>
    <phoneticPr fontId="29" type="noConversion"/>
  </si>
  <si>
    <t>I006F_FBC1</t>
    <phoneticPr fontId="29" type="noConversion"/>
  </si>
  <si>
    <t>I006F_FBC4</t>
    <phoneticPr fontId="29" type="noConversion"/>
  </si>
  <si>
    <t>I006F_FBC2</t>
    <phoneticPr fontId="29" type="noConversion"/>
  </si>
  <si>
    <t>I006F_FBC5</t>
    <phoneticPr fontId="29" type="noConversion"/>
  </si>
  <si>
    <t>08:20 전후, 15:10 전후</t>
  </si>
  <si>
    <t>I006F_FBD1</t>
    <phoneticPr fontId="29" type="noConversion"/>
  </si>
  <si>
    <t>I006F_FBE1</t>
    <phoneticPr fontId="29" type="noConversion"/>
  </si>
  <si>
    <t>매월 마지막 영업일</t>
  </si>
  <si>
    <t>I006F_FBF1</t>
    <phoneticPr fontId="29" type="noConversion"/>
  </si>
  <si>
    <t>I006F_FBF2</t>
    <phoneticPr fontId="29" type="noConversion"/>
  </si>
  <si>
    <t>I006F_FBG1</t>
    <phoneticPr fontId="29" type="noConversion"/>
  </si>
  <si>
    <t>I006F_CBA1</t>
    <phoneticPr fontId="29" type="noConversion"/>
  </si>
  <si>
    <t>I006F_CBA2</t>
    <phoneticPr fontId="29" type="noConversion"/>
  </si>
  <si>
    <t>09:00~15:00</t>
  </si>
  <si>
    <t>I106F_FOC1</t>
    <phoneticPr fontId="29" type="noConversion"/>
  </si>
  <si>
    <t>08:20~15:00</t>
  </si>
  <si>
    <t>I106F_FOD1</t>
    <phoneticPr fontId="29" type="noConversion"/>
  </si>
  <si>
    <t>I106F_FOE1</t>
    <phoneticPr fontId="29" type="noConversion"/>
  </si>
  <si>
    <t>08:00~16:00</t>
    <phoneticPr fontId="29" type="noConversion"/>
  </si>
  <si>
    <t>I106F_FOF1</t>
    <phoneticPr fontId="29" type="noConversion"/>
  </si>
  <si>
    <t>08:00~02:00</t>
    <phoneticPr fontId="29" type="noConversion"/>
  </si>
  <si>
    <t>I106F_FOF2</t>
    <phoneticPr fontId="29" type="noConversion"/>
  </si>
  <si>
    <t>I106F_FOG1</t>
    <phoneticPr fontId="29" type="noConversion"/>
  </si>
  <si>
    <t>10:00~15:00
1시간 간격</t>
  </si>
  <si>
    <t>I106F_FOQ1</t>
    <phoneticPr fontId="29" type="noConversion"/>
  </si>
  <si>
    <t>I106F_COA1</t>
    <phoneticPr fontId="29" type="noConversion"/>
  </si>
  <si>
    <t>I106F_UOD1</t>
    <phoneticPr fontId="29" type="noConversion"/>
  </si>
  <si>
    <t>09:00~15:30
30분 간격</t>
  </si>
  <si>
    <t>I106F_UOE1</t>
    <phoneticPr fontId="29" type="noConversion"/>
  </si>
  <si>
    <t>I106F_FOT1</t>
    <phoneticPr fontId="29" type="noConversion"/>
  </si>
  <si>
    <t>I106F_HOE1</t>
    <phoneticPr fontId="29" type="noConversion"/>
  </si>
  <si>
    <t>I006F_FBB1</t>
  </si>
  <si>
    <t>I006F_FBC1</t>
  </si>
  <si>
    <t>I006F_FBC2</t>
  </si>
  <si>
    <t>I006F_FBD1</t>
  </si>
  <si>
    <t>I006F_FBE1</t>
  </si>
  <si>
    <t>Int</t>
  </si>
  <si>
    <t>I006F_CBA1</t>
  </si>
  <si>
    <t>I006F_CBA2</t>
  </si>
  <si>
    <t>I106F_FOC1</t>
  </si>
  <si>
    <t>I106F_FOE1</t>
  </si>
  <si>
    <t>I106F_FOF1</t>
  </si>
  <si>
    <t>HHMMSS</t>
    <phoneticPr fontId="29" type="noConversion"/>
  </si>
  <si>
    <t>I106F_FOG1</t>
  </si>
  <si>
    <t>I106F_COA1</t>
  </si>
  <si>
    <t>I106F_UOD1</t>
  </si>
  <si>
    <t>I106F_UOE1</t>
  </si>
  <si>
    <t>HHMM</t>
    <phoneticPr fontId="29" type="noConversion"/>
  </si>
  <si>
    <t xml:space="preserve">Commodity Futures_Spot Market Info_USD Market Data </t>
    <phoneticPr fontId="29" type="noConversion"/>
  </si>
  <si>
    <t>Transmission Date</t>
  </si>
  <si>
    <t>Base Currency_ISO Code</t>
  </si>
  <si>
    <t>SMBS_Ask Quote</t>
  </si>
  <si>
    <t>SMBS_Bid Quote</t>
  </si>
  <si>
    <t>SMBS_Closing Price for the day</t>
  </si>
  <si>
    <t>SMBS_Opening Price</t>
  </si>
  <si>
    <t>SMBS_Low Price</t>
  </si>
  <si>
    <t>SMBS_High Price</t>
  </si>
  <si>
    <t>SMBS_Clearing Price</t>
  </si>
  <si>
    <t>SMBS_Trading Time</t>
  </si>
  <si>
    <t>Commodity Futures_Spot Market Info_USD Batch_Data 1</t>
  </si>
  <si>
    <t>Commodity Futures_Spot Market Info_USD Batch_Data 11</t>
    <phoneticPr fontId="29" type="noConversion"/>
  </si>
  <si>
    <t>Commodity Futures_Spot Market Info_USD Batch_Data 2</t>
  </si>
  <si>
    <t>Commodity Futures_Spot Market Info_USD Batch_Data 2</t>
    <phoneticPr fontId="29" type="noConversion"/>
  </si>
  <si>
    <t>Commodity Futures_Spot Market Info_USD Batch_Data 3</t>
    <phoneticPr fontId="29" type="noConversion"/>
  </si>
  <si>
    <t>Commodity Futures_Spot Market Info_USD Batch_Data 12</t>
    <phoneticPr fontId="29" type="noConversion"/>
  </si>
  <si>
    <t>Commodity Futures_Spot Market Info_USD Batch_Data 13</t>
    <phoneticPr fontId="29" type="noConversion"/>
  </si>
  <si>
    <t>Commodity Futures_Spot Market Info_USD Batch_Data 4</t>
    <phoneticPr fontId="29" type="noConversion"/>
  </si>
  <si>
    <t>Commodity Futures_Spot Market Info_USD Batch_Data 5</t>
    <phoneticPr fontId="29" type="noConversion"/>
  </si>
  <si>
    <t>Commodity Futures_Spot Market Info_USD Batch_Data 6</t>
    <phoneticPr fontId="29" type="noConversion"/>
  </si>
  <si>
    <t>Commodity Futures_Spot Market Info_USD Batch_Data 7</t>
    <phoneticPr fontId="29" type="noConversion"/>
  </si>
  <si>
    <t>Commodity Futures_Spot Market Info_USD Batch_Data 8</t>
    <phoneticPr fontId="29" type="noConversion"/>
  </si>
  <si>
    <t>Commodity Futures_Spot Market Info_USD Batch_Data 9</t>
    <phoneticPr fontId="29" type="noConversion"/>
  </si>
  <si>
    <t>Commodity Futures_Spot Market Info_USD Batch_Data 10</t>
    <phoneticPr fontId="29" type="noConversion"/>
  </si>
  <si>
    <t>Job Code</t>
  </si>
  <si>
    <t>Trading Time</t>
  </si>
  <si>
    <t>Volume (SP)</t>
  </si>
  <si>
    <t>Maturity Type Code</t>
  </si>
  <si>
    <t>Maturity Date(Settlement Date)</t>
  </si>
  <si>
    <t>Close Rate</t>
  </si>
  <si>
    <t>Average Rate</t>
  </si>
  <si>
    <t>MAR</t>
  </si>
  <si>
    <t>Announced Date</t>
  </si>
  <si>
    <t>Currency ISO Code</t>
  </si>
  <si>
    <t>Cross Rate</t>
  </si>
  <si>
    <t>Exchange Rate</t>
  </si>
  <si>
    <t>Swap_Low Rate</t>
  </si>
  <si>
    <t>Swap_High Rate</t>
  </si>
  <si>
    <t>Swap_Open Rate</t>
  </si>
  <si>
    <t>Swap_Close Rate</t>
  </si>
  <si>
    <t>Swap_Average Rate</t>
  </si>
  <si>
    <t>Swap_Volume</t>
  </si>
  <si>
    <t>Base year and month</t>
  </si>
  <si>
    <t>Open Rate</t>
  </si>
  <si>
    <t>High Rate</t>
  </si>
  <si>
    <t>Low Rate</t>
  </si>
  <si>
    <t>O/N Volume</t>
  </si>
  <si>
    <t>Total Volume</t>
  </si>
  <si>
    <t>LIBOR</t>
  </si>
  <si>
    <t>SIBOR</t>
  </si>
  <si>
    <t>Commodity Futures_Spot Market Info_USD Real-time_Data 1</t>
    <phoneticPr fontId="29" type="noConversion"/>
  </si>
  <si>
    <t>Commodity Futures_Spot Market Info_USD Real-time_Data 2</t>
    <phoneticPr fontId="29" type="noConversion"/>
  </si>
  <si>
    <t>Commodity Futures_Spot Market Info_USD Real-time_Data 3</t>
    <phoneticPr fontId="29" type="noConversion"/>
  </si>
  <si>
    <t>Commodity Futures_Spot Market Info_USD Real-time_Data 4</t>
    <phoneticPr fontId="29" type="noConversion"/>
  </si>
  <si>
    <t>Commodity Futures_Spot Market Info_USD Real-time_Data 10</t>
    <phoneticPr fontId="29" type="noConversion"/>
  </si>
  <si>
    <t>Commodity Futures_Spot Market Info_USD Real-time_Data 5</t>
    <phoneticPr fontId="29" type="noConversion"/>
  </si>
  <si>
    <t>Commodity Futures_Spot Market Info_USD Real-time_Data 6</t>
    <phoneticPr fontId="29" type="noConversion"/>
  </si>
  <si>
    <t>Commodity Futures_Spot Market Info_USD Real-time_Data 7</t>
    <phoneticPr fontId="29" type="noConversion"/>
  </si>
  <si>
    <t>Commodity Futures_Spot Market Info_USD Real-time_Data 8</t>
    <phoneticPr fontId="29" type="noConversion"/>
  </si>
  <si>
    <t>Commodity Futures_Spot Market Info_USD Real-time_Data 9</t>
    <phoneticPr fontId="29" type="noConversion"/>
  </si>
  <si>
    <t>Commodity Futures_Spot Market Info_USD Real-time_Data 11</t>
    <phoneticPr fontId="29" type="noConversion"/>
  </si>
  <si>
    <t xml:space="preserve">Commodity Futures_Spot Market Info_CNH Real-time_Data </t>
    <phoneticPr fontId="29" type="noConversion"/>
  </si>
  <si>
    <t>Bid Best</t>
  </si>
  <si>
    <t>Offer Best</t>
  </si>
  <si>
    <t>Bid Volume</t>
  </si>
  <si>
    <t>Offer Volume</t>
  </si>
  <si>
    <t>Previous Rate</t>
  </si>
  <si>
    <t>Swap_Bid Best</t>
  </si>
  <si>
    <t>Swap_Offer Best</t>
  </si>
  <si>
    <t>Swap_Bid Volume</t>
  </si>
  <si>
    <t>Swap_Offer Volume</t>
  </si>
  <si>
    <t>Swap_Prev Rate</t>
  </si>
  <si>
    <t>Bid Rate</t>
  </si>
  <si>
    <t>Offer Rate</t>
  </si>
  <si>
    <t xml:space="preserve">CNH_Close Rate </t>
  </si>
  <si>
    <t>A code to categorize market data disseminated</t>
  </si>
  <si>
    <t>A code to show contracts/markets of the data disseminated</t>
  </si>
  <si>
    <t>* (before) Information category + Market category</t>
  </si>
  <si>
    <t>Currency Codes (ISO 4217) 
AUD: Austrailian Dollar 
EUR: Euro 
GBP: Pound Sterling 
HKD: Hong Kong Dollar 
JPY: Japanese Yen 
KRW: Korean Won 
SGD: Singapore Dollar 
USD: US Dollar 
CHF: Swiss Franc 
CAD: Canadian Dollar 
CNY: Yuan Renminbi 
USC: US Cent</t>
  </si>
  <si>
    <t>*Refer to the Code Table</t>
  </si>
  <si>
    <t>A keyword indicating the end of a message. (%HFF)</t>
  </si>
  <si>
    <t>Maturity Type Code 
TD : Value Today
TC : Today Check
TM : Value Tom
SP : Value Spot
ON : OverNight
TN : Tomorrow Next
SN : Spot Next
#D : #Daily products 
#W : #Weekly products 
#M : #Monthly products 
#Y : #Yearly products 
#Q : #Quarterly products 
OD : Odd Date</t>
  </si>
  <si>
    <t>Maturity Type Code 
TD : Value Today
TC : Today Check
TM : Value Tom
SP : Value Spot
ON : OverNight
TN : Tomorrow Next
SN : Spot Next
#D : #Daily products 
#W : #Weekly products 
#M : #Monthly products 
#Y : #Yearly products 
#Q : #Quarterly products 
OD : Odd Date</t>
    <phoneticPr fontId="29" type="noConversion"/>
  </si>
  <si>
    <t>Maturity Type Code 
SP : Value Spot</t>
    <phoneticPr fontId="29" type="noConversion"/>
  </si>
  <si>
    <t>MAR : Market Average Rate</t>
  </si>
  <si>
    <t>Base year and month (YYYY.MM)</t>
  </si>
  <si>
    <t>Trading Time (HHMM-HHMM)</t>
  </si>
  <si>
    <t>Trading Time (HHMM)</t>
  </si>
  <si>
    <t>FILLER</t>
    <phoneticPr fontId="29" type="noConversion"/>
  </si>
  <si>
    <t>A keyword indicating the end of a message. (%HFF)</t>
    <phoneticPr fontId="29" type="noConversion"/>
  </si>
  <si>
    <t>Maturity Date(Settlement Date) YYYYMMDD</t>
    <phoneticPr fontId="29" type="noConversion"/>
  </si>
  <si>
    <t>SMBS SWAP Offer Best [+|-]9999</t>
    <phoneticPr fontId="29" type="noConversion"/>
  </si>
  <si>
    <t>SMBS SWAP Bid Best [+|-]9999</t>
    <phoneticPr fontId="29" type="noConversion"/>
  </si>
  <si>
    <t>SMBS SWAP Offer Volume 9999.9</t>
    <phoneticPr fontId="29" type="noConversion"/>
  </si>
  <si>
    <t>SMBS SWAP Bid Volume 9999.9</t>
    <phoneticPr fontId="29" type="noConversion"/>
  </si>
  <si>
    <t>SMBS SWAP Previous Rate [+|-]9999</t>
    <phoneticPr fontId="29" type="noConversion"/>
  </si>
  <si>
    <t>Commodity Futures_Spot Market Info_USD Batch_Data 3</t>
    <phoneticPr fontId="29" type="noConversion"/>
  </si>
  <si>
    <t>- No change in SPEC, Multicast Transmission group and Port</t>
    <phoneticPr fontId="29" type="noConversion"/>
  </si>
  <si>
    <t>* Introduction of K-OTC market alert system</t>
    <phoneticPr fontId="29" type="noConversion"/>
  </si>
  <si>
    <t>- Add KB FUND PARTNERS (909)</t>
    <phoneticPr fontId="29" type="noConversion"/>
  </si>
  <si>
    <t>-Commodity Futures_Spot Market Info USD 시세(H906F)
-Commodity Futures_Spot Market Info USD Batch 1~10(I006F)
-Commodity Futures_Spot Market Info USD Real time 1~9(I106F)
-Commodity Futures_Spot Market Info CNH Real time (I106F)</t>
    <phoneticPr fontId="29" type="noConversion"/>
  </si>
  <si>
    <t>* Adding Comodity Futures Spot Market Info USD/CNH Transmission</t>
    <phoneticPr fontId="29" type="noConversion"/>
  </si>
  <si>
    <t>(Derivatives A) DRV : H906F</t>
  </si>
  <si>
    <t>(Derivatives A) DRV : I006F / FBB1</t>
  </si>
  <si>
    <t>(Derivatives A) DRV : I006F / FBB2</t>
  </si>
  <si>
    <t>(Derivatives A) DRV : I006F / FBC1</t>
  </si>
  <si>
    <t>(Derivatives A) DRV : I006F / FBC4</t>
  </si>
  <si>
    <t>(Derivatives A) DRV : I006F / FBC2</t>
  </si>
  <si>
    <t>(Derivatives A) DRV : I006F / FBC5</t>
  </si>
  <si>
    <t>(Derivatives A) DRV : I006F / FBD1</t>
  </si>
  <si>
    <t>(Derivatives A) DRV : I006F / FBE1</t>
  </si>
  <si>
    <t>(Derivatives A) DRV : I006F / FBF1</t>
  </si>
  <si>
    <t>(Derivatives A) DRV : I006F / FBF2</t>
  </si>
  <si>
    <t>(Derivatives A) DRV : I006F / FBG1</t>
  </si>
  <si>
    <t>(Derivatives A) DRV : I006F / CBA1</t>
  </si>
  <si>
    <t>(Derivatives A) DRV : I006F / CBA2</t>
  </si>
  <si>
    <t>(Derivatives A) DRV : I106F / FOC1</t>
  </si>
  <si>
    <t>(Derivatives A) DRV : I106F / FOD1</t>
  </si>
  <si>
    <t>(Derivatives A) DRV : I106F / FOE1</t>
  </si>
  <si>
    <t>(Derivatives A) DRV : I106F / FOF1</t>
  </si>
  <si>
    <t>(Derivatives A) DRV : I106F / FOF2</t>
  </si>
  <si>
    <t>(Derivatives A) DRV : I106F / FOG1</t>
  </si>
  <si>
    <t>(Derivatives A) DRV : I106F / FOQ1</t>
  </si>
  <si>
    <t>(Derivatives A) DRV : I106F / COA1</t>
  </si>
  <si>
    <t>(Derivatives A) DRV : I106F / UOD1</t>
  </si>
  <si>
    <t>(Derivatives A) DRV : I106F / UOE1</t>
  </si>
  <si>
    <t>(Derivatives A) DRV : I106F / FOT1</t>
  </si>
  <si>
    <t>(Derivatives A) DRV : I106F / HOE1</t>
  </si>
  <si>
    <t>Commodity Futures_Spot Market Info USD Batch Data11</t>
  </si>
  <si>
    <t>Commodity Futures_Spot Market Info USD Batch Data2</t>
  </si>
  <si>
    <t>Commodity Futures_Spot Market Info USD Batch Data12</t>
  </si>
  <si>
    <t>Commodity Futures_Spot Market Info USD Batch Data3</t>
  </si>
  <si>
    <t>Commodity Futures_Spot Market Info USD Batch Data13</t>
  </si>
  <si>
    <t>Commodity Futures_Spot Market Info USD Batch Data4</t>
  </si>
  <si>
    <t>Commodity Futures_Spot Market Info USD Batch Data5</t>
  </si>
  <si>
    <t>Commodity Futures_Spot Market Info USD Batch Data6</t>
  </si>
  <si>
    <t>Commodity Futures_Spot Market Info USD Batch Data7</t>
  </si>
  <si>
    <t>Commodity Futures_Spot Market Info USD Batch Data8</t>
  </si>
  <si>
    <t>Commodity Futures_Spot Market Info USD Batch Data9</t>
  </si>
  <si>
    <t>Commodity Futures_Spot Market Info USD Batch Data10</t>
  </si>
  <si>
    <t>Prev. day : 08:20 전후
당일 : 17:55 전후</t>
  </si>
  <si>
    <t>about 15:10</t>
    <phoneticPr fontId="29" type="noConversion"/>
  </si>
  <si>
    <r>
      <t xml:space="preserve">about 15:10
</t>
    </r>
    <r>
      <rPr>
        <sz val="8"/>
        <rFont val="맑은 고딕"/>
        <family val="3"/>
        <charset val="129"/>
      </rPr>
      <t xml:space="preserve">→ about </t>
    </r>
    <r>
      <rPr>
        <sz val="8"/>
        <rFont val="맑은 고딕"/>
        <family val="3"/>
        <charset val="129"/>
        <scheme val="minor"/>
      </rPr>
      <t>02:00</t>
    </r>
    <phoneticPr fontId="29" type="noConversion"/>
  </si>
  <si>
    <r>
      <t xml:space="preserve">15:10 about
</t>
    </r>
    <r>
      <rPr>
        <sz val="8"/>
        <rFont val="맑은 고딕"/>
        <family val="3"/>
        <charset val="129"/>
      </rPr>
      <t xml:space="preserve">→ about </t>
    </r>
    <r>
      <rPr>
        <sz val="8"/>
        <rFont val="맑은 고딕"/>
        <family val="3"/>
        <charset val="129"/>
        <scheme val="minor"/>
      </rPr>
      <t>02:00</t>
    </r>
    <phoneticPr fontId="29" type="noConversion"/>
  </si>
  <si>
    <t>about 15:10</t>
    <phoneticPr fontId="29" type="noConversion"/>
  </si>
  <si>
    <r>
      <t xml:space="preserve">15:10 about
</t>
    </r>
    <r>
      <rPr>
        <sz val="8"/>
        <rFont val="맑은 고딕"/>
        <family val="3"/>
        <charset val="129"/>
      </rPr>
      <t xml:space="preserve">→about </t>
    </r>
    <r>
      <rPr>
        <sz val="8"/>
        <rFont val="맑은 고딕"/>
        <family val="3"/>
        <charset val="129"/>
        <scheme val="minor"/>
      </rPr>
      <t>02:00</t>
    </r>
    <phoneticPr fontId="29" type="noConversion"/>
  </si>
  <si>
    <t>15:10 about</t>
    <phoneticPr fontId="29" type="noConversion"/>
  </si>
  <si>
    <t>* Separate Contracts
*최종레코드 : 데이터구분값(2bytes)+정보구분값+99999999~</t>
  </si>
  <si>
    <t>* Separate Contracts
KRW/USD Prev. day 시간대별 Transaction Status (FBB1) (0200 base)</t>
  </si>
  <si>
    <t>* Separate Contracts
외국환중개 배치 정보 : 환율고시 재정환율 현황 (FBD1)</t>
  </si>
  <si>
    <t>* Separate Contracts
KRW/USD 통화선도환율방식 선도환율 (FBF1)</t>
  </si>
  <si>
    <t>* Separate Contracts
KRW/USD 스왑포인트방식 선도환율 (FBF2)</t>
  </si>
  <si>
    <t>* Separate Contracts
KRW/USD 시간대별 Transaction Status (FOC1)</t>
  </si>
  <si>
    <t>* Separate Contracts
KRW/USD 기일물별 접수현황 (FOD1)</t>
  </si>
  <si>
    <t>* Separate Contracts
SWAP 기일물별 접수현황 (FOF1) (1530 base)</t>
  </si>
  <si>
    <t>* Separate Contracts
외화 기일물별 접수현황 (COA1)</t>
  </si>
  <si>
    <t>* Separate Contracts
Commodity Futures_Spot Market Info USD 시세
기일물에 관계 없이 마지막에 발생한 매도수호가와 Opening/High/Low/Closing price를 분배</t>
  </si>
  <si>
    <t>* Separate Contracts
외화 일별 Opening/High/Low/Closing price 거래요약 (CBA1)</t>
  </si>
  <si>
    <t>* Separate Contracts
KRW/USD Prev. day 기일물별 Opening/High/Low/Closing price Settle. Status (FBC1) (0200 base)</t>
  </si>
  <si>
    <t>* Separate Contracts
SWAP Prev. day 기일물별 Settle. Status</t>
  </si>
  <si>
    <t>* Separate Contracts
KRW/USD 기일물별 Settle. Status (FOE1)</t>
  </si>
  <si>
    <t>* Separate Contracts
SWAP 기일물별 Settle. Status (FOG1)</t>
  </si>
  <si>
    <t>* Separate Contracts KRW/CNH
기일물별 Settle. Status (HOE1)</t>
  </si>
  <si>
    <t>* Separate Contracts
KRW/USD Prev. day 기일물별 Avg. Settle. Status (FBC2) (0200 base)</t>
  </si>
  <si>
    <t>* Separate Contracts
월Avg. 기준환율 (FBG1)</t>
  </si>
  <si>
    <t>* Separate Contracts
외화 일별 Avg. 및 런던/싱가폴 환율 거래요약 (CBA2)</t>
  </si>
  <si>
    <t>* Separate Contracts
KRW/USD SPOT Every hour O'clock Time Weighted Avg. (FOT1) (0200 base)</t>
    <phoneticPr fontId="29" type="noConversion"/>
  </si>
  <si>
    <t>SMBS_Closing Price for the day (02:00 base)</t>
    <phoneticPr fontId="29" type="noConversion"/>
  </si>
  <si>
    <t>F1    Data Category ← Data category</t>
  </si>
  <si>
    <t>Standard Code(ISIN)   ISIN ← Issue Code</t>
  </si>
  <si>
    <t>Standard Code(ISIN)  ISIN ← ETF code</t>
  </si>
  <si>
    <t>Standard Code(ISIN)  ISIN ← Issue Code</t>
  </si>
  <si>
    <t>Standard code(ISIN)  ISIN ← ETF Issue code</t>
  </si>
  <si>
    <t>Standard Code(ISIN)  ISIN ← ETF Issue code</t>
  </si>
  <si>
    <t>Composition ratio within Indices
99999V99 Unit:%</t>
  </si>
  <si>
    <t>Standard Code(ISIN)  ISIN ← ETN Issue code(ISIN)</t>
  </si>
  <si>
    <t>Standard Code(ISIN)  ISIN ← ETN Symbol Code</t>
  </si>
  <si>
    <t>Trading Bond Issue code(ISIN)  ISIN ← Issue code(isin)</t>
  </si>
  <si>
    <t>In case of H1 data : 00000000  Original Sequence Number ← Previous ISIN</t>
  </si>
  <si>
    <t>9(6).9(2) ← 9(6)V9(2)</t>
  </si>
  <si>
    <t>HHMMSS 09:00:00 ~ JUNJJJ(Around 18:00)
Cycle: 1 minute</t>
  </si>
  <si>
    <t>9(3)V9(3) (%) ※ It is not calculated. set as' 0'</t>
  </si>
  <si>
    <t>Standard Code(ISIN) ISIN ← Issue code</t>
  </si>
  <si>
    <t>(12+5)*50 OCCURS 50</t>
  </si>
  <si>
    <t>Standard Code(ISIN) ISIN ← Issue Code</t>
  </si>
  <si>
    <t>1~99999999 Records Checking Purpose</t>
  </si>
  <si>
    <t>Small or medium / Middle-standing enterprise category (Article 94 of the Income Tax Act)</t>
  </si>
  <si>
    <t>0: normal 1: ex-rights 2: stock split
3: par value consolidation 4 capital reduction
5: consolidation 6: ex-dividends</t>
  </si>
  <si>
    <t>0: non-public offering, 
1: public offering</t>
  </si>
  <si>
    <t>SPACE 132→131 2024.09.02</t>
  </si>
  <si>
    <t>+: up -: down space: steadiness</t>
  </si>
  <si>
    <t>Standard Code(ISIN) ISIN ← Issue code
(in case that data type is not 01, then "0")</t>
  </si>
  <si>
    <t>E9: disclosure batch F0: disclosure real-time</t>
  </si>
  <si>
    <t>Standard Code(ISIN), last record: 999999999999  ISIN ← Issue code</t>
  </si>
  <si>
    <t>077: Over-the-counter Bond   Product Category → Information Category</t>
  </si>
  <si>
    <t>077:OTC Bond    Product Category → Information Category</t>
  </si>
  <si>
    <t>077:OTC Bond   Information Category ← Product Category</t>
  </si>
  <si>
    <t>077:OTC Bond   Information Category</t>
  </si>
  <si>
    <t>H8         Data category ← DATA Type</t>
  </si>
  <si>
    <t>000:COMMON  Information Category ← Information Type</t>
  </si>
  <si>
    <t>D: Lean Hog Representative Price Index Data Type ← DATA Type</t>
  </si>
  <si>
    <t>L:Real-time spot price index    Data Type ← DATA Type</t>
  </si>
  <si>
    <t>H8         Data category ← Data Type</t>
  </si>
  <si>
    <t>E:Real-time spot price closing index Data Type ← DATA Type</t>
  </si>
  <si>
    <t>Trading Time HHMM-HHMM</t>
  </si>
  <si>
    <t>Trading Time HHMM-HHMM (15:30 까지)</t>
  </si>
  <si>
    <t xml:space="preserve">Name of Bank </t>
  </si>
  <si>
    <t xml:space="preserve">CNH_Low Rate  </t>
  </si>
  <si>
    <t xml:space="preserve">CNH_High Rate  </t>
  </si>
  <si>
    <t xml:space="preserve">CNH_Open Rate </t>
  </si>
  <si>
    <t>Data Category</t>
    <phoneticPr fontId="29" type="noConversion"/>
  </si>
  <si>
    <t>Info Category</t>
    <phoneticPr fontId="29" type="noConversion"/>
  </si>
  <si>
    <t>Maturity Type Code</t>
    <phoneticPr fontId="29" type="noConversion"/>
  </si>
  <si>
    <t>Maturity Type Code</t>
    <phoneticPr fontId="29" type="noConversion"/>
  </si>
  <si>
    <t>Trading Date</t>
    <phoneticPr fontId="29" type="noConversion"/>
  </si>
  <si>
    <t>Trading Date</t>
    <phoneticPr fontId="29" type="noConversion"/>
  </si>
  <si>
    <t>Job Code</t>
    <phoneticPr fontId="29" type="noConversion"/>
  </si>
  <si>
    <t>Job Code</t>
    <phoneticPr fontId="29" type="noConversion"/>
  </si>
  <si>
    <t>Maturity Date(Settlement Date)</t>
    <phoneticPr fontId="29" type="noConversion"/>
  </si>
  <si>
    <t>SMBS SWAP Best Offer Amt.</t>
    <phoneticPr fontId="29" type="noConversion"/>
  </si>
  <si>
    <t>SMBS SWAP Best Bid Amt.</t>
    <phoneticPr fontId="29" type="noConversion"/>
  </si>
  <si>
    <t>SMBS SWAP Best Offer Vol.</t>
    <phoneticPr fontId="29" type="noConversion"/>
  </si>
  <si>
    <t>SMBS SWAP Best Bid Vol.</t>
    <phoneticPr fontId="29" type="noConversion"/>
  </si>
  <si>
    <t>SMBS SWAP Previous Rate</t>
    <phoneticPr fontId="29" type="noConversion"/>
  </si>
  <si>
    <t>Weighted average</t>
    <phoneticPr fontId="29" type="noConversion"/>
  </si>
  <si>
    <t>FILLER</t>
    <phoneticPr fontId="29" type="noConversion"/>
  </si>
  <si>
    <t>End Keyword</t>
    <phoneticPr fontId="29" type="noConversion"/>
  </si>
  <si>
    <t>Filler25</t>
    <phoneticPr fontId="29" type="noConversion"/>
  </si>
  <si>
    <t>Order time</t>
    <phoneticPr fontId="29" type="noConversion"/>
  </si>
  <si>
    <t>SMBS quote time</t>
    <phoneticPr fontId="29" type="noConversion"/>
  </si>
  <si>
    <t>* Separate Contracts
KRW/USD Hourly Prev. day Transaction Status (FBB2) (1530 base)</t>
    <phoneticPr fontId="29" type="noConversion"/>
  </si>
  <si>
    <t>* Separate Contracts
KRW/USD Daily Prev. day Opening/High/Low/Closing price Settle. Status (FBC4) (1530 base)</t>
    <phoneticPr fontId="29" type="noConversion"/>
  </si>
  <si>
    <t>* Separate Contracts
KRW/USD Daily Prev. day Avg. Settle. Status (FBC2) (1530 base)</t>
    <phoneticPr fontId="29" type="noConversion"/>
  </si>
  <si>
    <t>* Separate Contracts
Daily SWAP Acceptance Status (FOF1) (0200 base)</t>
    <phoneticPr fontId="29" type="noConversion"/>
  </si>
  <si>
    <t>* Separate Contracts
KRW/USD SPOT 30min Interbank Settled Exchange rate (UOE1)</t>
    <phoneticPr fontId="29" type="noConversion"/>
  </si>
  <si>
    <t>* Separate Contracts
KRW/USD SPOT Customer Exchange rate (UOD1)</t>
    <phoneticPr fontId="29" type="noConversion"/>
  </si>
  <si>
    <t>Commodity Futures_Spot Market Info USD Real-Time Data 2</t>
  </si>
  <si>
    <t>Commodity Futures_Spot Market Info USD Real-Time Data 3</t>
  </si>
  <si>
    <t>Commodity Futures_Spot Market Info USD Real-Time Data 4</t>
  </si>
  <si>
    <t>Commodity Futures_Spot Market Info USD Real-Time Data 10</t>
  </si>
  <si>
    <t>Commodity Futures_Spot Market Info USD Real-Time Data 5</t>
  </si>
  <si>
    <t>Commodity Futures_Spot Market Info USD Real-Time Data 6</t>
  </si>
  <si>
    <t>Commodity Futures_Spot Market Info USD Real-Time Data 7</t>
  </si>
  <si>
    <t>Commodity Futures_Spot Market Info USD Real-Time Data 9</t>
  </si>
  <si>
    <t>Commodity Futures_Spot Market Info USD Real-Time Data 11</t>
  </si>
  <si>
    <t>* Separate Contracts
Spot Exchange 시간대별 BID-OFFER 호가현황 (FOQ1)</t>
  </si>
  <si>
    <t>- Add HANA FUND SERVICE (907)</t>
    <phoneticPr fontId="29" type="noConversion"/>
  </si>
  <si>
    <t>'903' : Korea Securities Depository, '049' : Korea Fund Partners,
'905' : Shinhan Fund Partners, '907' : Hana Fund Service</t>
    <phoneticPr fontId="29" type="noConversion"/>
  </si>
  <si>
    <t>* Separate Agreement</t>
    <phoneticPr fontId="29" type="noConversion"/>
  </si>
  <si>
    <t>Global ETF iNAV</t>
  </si>
  <si>
    <t>Global ETF iNAV</t>
    <phoneticPr fontId="29" type="noConversion"/>
  </si>
  <si>
    <t>ETN iIV</t>
  </si>
  <si>
    <t>ETN iIV</t>
    <phoneticPr fontId="29" type="noConversion"/>
  </si>
  <si>
    <t>ETN iIV</t>
    <phoneticPr fontId="29" type="noConversion"/>
  </si>
  <si>
    <t>Global ETF iNAV
Global ETF Tracking Error</t>
    <phoneticPr fontId="29" type="noConversion"/>
  </si>
  <si>
    <t>ETN iIV</t>
    <phoneticPr fontId="29" type="noConversion"/>
  </si>
  <si>
    <t xml:space="preserve">Domestic ETF iNAV(BV03S), 
Domestic ETF Estimated iNAV(BW03S)
Refer to the sheet "Multicast IP&amp;Port" </t>
    <phoneticPr fontId="29" type="noConversion"/>
  </si>
  <si>
    <t>233.38.231.94</t>
    <phoneticPr fontId="35" type="noConversion"/>
  </si>
  <si>
    <t>파생</t>
    <phoneticPr fontId="29" type="noConversion"/>
  </si>
  <si>
    <t>Commodity Futures_Spot Market Info USD</t>
    <phoneticPr fontId="29" type="noConversion"/>
  </si>
  <si>
    <t>KOSCOM</t>
    <phoneticPr fontId="29" type="noConversion"/>
  </si>
  <si>
    <t>Securities A/ 100M</t>
    <phoneticPr fontId="29" type="noConversion"/>
  </si>
  <si>
    <t>Securities 100M</t>
    <phoneticPr fontId="29" type="noConversion"/>
  </si>
  <si>
    <t>Commodity Futures_Spot Market Info USD Batch Data1</t>
    <phoneticPr fontId="29" type="noConversion"/>
  </si>
  <si>
    <t>Commodity Futures_Spot Market Info USD Real-Time Data 1</t>
    <phoneticPr fontId="29" type="noConversion"/>
  </si>
  <si>
    <t xml:space="preserve">Commodity Futures_Spot Market Info CNH Real-Time Data </t>
    <phoneticPr fontId="29" type="noConversion"/>
  </si>
  <si>
    <t>Securities A</t>
    <phoneticPr fontId="29" type="noConversion"/>
  </si>
  <si>
    <t>Securities A</t>
    <phoneticPr fontId="29" type="noConversion"/>
  </si>
  <si>
    <t>Main
MI : 192.168.1.120
BI : 192.168.1.121
BI2 : ...
TIA : 192.161.1.123
DR 
MI : 192.168.1.220</t>
    <phoneticPr fontId="29" type="noConversion"/>
  </si>
  <si>
    <t>Main
MI : 192.167.1.120
BI : 192.167.1.121
BI2 : ...
TIA : 192.161.1.123
DR
MI : 192.167.1.220</t>
    <phoneticPr fontId="29" type="noConversion"/>
  </si>
  <si>
    <t>Main
MI : 192.164.1.130
BI : 192.164.1.131
BI2 : ...
TIA : 192.161.2.123
DR
MI : 192.164.1.220</t>
    <phoneticPr fontId="29" type="noConversion"/>
  </si>
  <si>
    <t>String</t>
    <phoneticPr fontId="29" type="noConversion"/>
  </si>
  <si>
    <t>Double</t>
    <phoneticPr fontId="29" type="noConversion"/>
  </si>
  <si>
    <t>* Adding data type code for POF Listed Class
   - 05S</t>
    <phoneticPr fontId="29" type="noConversion"/>
  </si>
  <si>
    <t>049: Korea Fund Partners ← Mirae Asset Fund Services
905: Shinhan Fund Partners ← Shinhanaitas
906: WOORI FUND SERVICES 2023.04.10 new
907: HANA FUND SERVICES 2024.09.09 new
909: KB FUND PARTNERS 2024.08.19 new</t>
    <phoneticPr fontId="29" type="noConversion"/>
  </si>
  <si>
    <t>ETF Tracking Error</t>
    <phoneticPr fontId="29" type="noConversion"/>
  </si>
  <si>
    <t>ETP PDF</t>
  </si>
  <si>
    <t>ETP PDF</t>
    <phoneticPr fontId="29" type="noConversion"/>
  </si>
  <si>
    <t>Domestic ETP iNAV (insert 1 second interval)</t>
  </si>
  <si>
    <t>Domestic ETP iNAV (insert 1 second interval)</t>
    <phoneticPr fontId="29" type="noConversion"/>
  </si>
  <si>
    <t>Domestic ETP Estimated iNAV (insert 1 second interval)</t>
  </si>
  <si>
    <t>Domestic ETP Estimated iNAV (insert 1 second interval)</t>
    <phoneticPr fontId="29" type="noConversion"/>
  </si>
  <si>
    <t>ETF PDF → ETP PDF</t>
    <phoneticPr fontId="29" type="noConversion"/>
  </si>
  <si>
    <t>Domestic ETF Estimated iNAV (insert 1 second interval)
→ Domestic ETP Estimated iNAV (insert 1 second interval)</t>
    <phoneticPr fontId="29" type="noConversion"/>
  </si>
  <si>
    <t>ETP Operator Information</t>
  </si>
  <si>
    <t>ETP Operator Information</t>
    <phoneticPr fontId="29" type="noConversion"/>
  </si>
  <si>
    <t>ETP Transfer Agent Batch Data</t>
  </si>
  <si>
    <t>ETP Transfer Agent Batch Data</t>
    <phoneticPr fontId="29" type="noConversion"/>
  </si>
  <si>
    <t>BV03S</t>
    <phoneticPr fontId="29" type="noConversion"/>
  </si>
  <si>
    <t>F803S</t>
    <phoneticPr fontId="29" type="noConversion"/>
  </si>
  <si>
    <t>- Domestic ETF iNAV (BV)
- Domestic ETF Estimated iNAV (BW)
- ETF PDF (F8)
- ETF Operator Information (M8)
- ETF Transfer Agent Batch Data (N8)</t>
    <phoneticPr fontId="29" type="noConversion"/>
  </si>
  <si>
    <t>EXTURE 3.0</t>
    <phoneticPr fontId="29" type="noConversion"/>
  </si>
  <si>
    <t>Information Category</t>
    <phoneticPr fontId="35" type="noConversion"/>
  </si>
  <si>
    <t>Info Code</t>
    <phoneticPr fontId="35" type="noConversion"/>
  </si>
  <si>
    <t>Market Category</t>
    <phoneticPr fontId="35" type="noConversion"/>
  </si>
  <si>
    <t>Market Code</t>
    <phoneticPr fontId="35" type="noConversion"/>
  </si>
  <si>
    <t>Market + Information</t>
    <phoneticPr fontId="35" type="noConversion"/>
  </si>
  <si>
    <t>Market+
Information Code</t>
    <phoneticPr fontId="35" type="noConversion"/>
  </si>
  <si>
    <t>All Market</t>
    <phoneticPr fontId="35" type="noConversion"/>
  </si>
  <si>
    <t>00</t>
    <phoneticPr fontId="29" type="noConversion"/>
  </si>
  <si>
    <t>KOSPI</t>
    <phoneticPr fontId="35" type="noConversion"/>
  </si>
  <si>
    <t>01</t>
    <phoneticPr fontId="29" type="noConversion"/>
  </si>
  <si>
    <t>S</t>
    <phoneticPr fontId="29" type="noConversion"/>
  </si>
  <si>
    <t>ELW</t>
    <phoneticPr fontId="29" type="noConversion"/>
  </si>
  <si>
    <t>02</t>
    <phoneticPr fontId="29" type="noConversion"/>
  </si>
  <si>
    <t>ETF</t>
    <phoneticPr fontId="29" type="noConversion"/>
  </si>
  <si>
    <t>03</t>
    <phoneticPr fontId="29" type="noConversion"/>
  </si>
  <si>
    <t>ETN</t>
    <phoneticPr fontId="29" type="noConversion"/>
  </si>
  <si>
    <t>04</t>
    <phoneticPr fontId="29" type="noConversion"/>
  </si>
  <si>
    <t>POF Listed Class</t>
    <phoneticPr fontId="35" type="noConversion"/>
  </si>
  <si>
    <t>05</t>
    <phoneticPr fontId="29" type="noConversion"/>
  </si>
  <si>
    <t>05S</t>
    <phoneticPr fontId="35" type="noConversion"/>
  </si>
  <si>
    <t>Q</t>
    <phoneticPr fontId="29" type="noConversion"/>
  </si>
  <si>
    <t xml:space="preserve">KOSDAQ </t>
    <phoneticPr fontId="35" type="noConversion"/>
  </si>
  <si>
    <t>FreeBoard</t>
    <phoneticPr fontId="35" type="noConversion"/>
  </si>
  <si>
    <t>X</t>
    <phoneticPr fontId="29" type="noConversion"/>
  </si>
  <si>
    <t>KONEX</t>
    <phoneticPr fontId="35" type="noConversion"/>
  </si>
  <si>
    <t>G</t>
    <phoneticPr fontId="29" type="noConversion"/>
  </si>
  <si>
    <t>Gold Spot</t>
    <phoneticPr fontId="35" type="noConversion"/>
  </si>
  <si>
    <t>Gold</t>
    <phoneticPr fontId="29" type="noConversion"/>
  </si>
  <si>
    <t>Gold</t>
    <phoneticPr fontId="35" type="noConversion"/>
  </si>
  <si>
    <t>Emissions</t>
    <phoneticPr fontId="29" type="noConversion"/>
  </si>
  <si>
    <t>E</t>
    <phoneticPr fontId="29" type="noConversion"/>
  </si>
  <si>
    <t>00E</t>
    <phoneticPr fontId="35" type="noConversion"/>
  </si>
  <si>
    <t>01E</t>
    <phoneticPr fontId="35" type="noConversion"/>
  </si>
  <si>
    <t>Derivatives</t>
    <phoneticPr fontId="29" type="noConversion"/>
  </si>
  <si>
    <t>F</t>
    <phoneticPr fontId="29" type="noConversion"/>
  </si>
  <si>
    <t>Financial Commodity Futures
(KTB, Interest, Foreign Exchange)</t>
    <phoneticPr fontId="35" type="noConversion"/>
  </si>
  <si>
    <t>Commodity Options(Dormant)</t>
    <phoneticPr fontId="35" type="noConversion"/>
  </si>
  <si>
    <t>Sector Index Futures.
KOSDAQ Global Index Futures</t>
    <phoneticPr fontId="35" type="noConversion"/>
  </si>
  <si>
    <r>
      <t xml:space="preserve">Commodity Futures
(Gold, </t>
    </r>
    <r>
      <rPr>
        <strike/>
        <sz val="9"/>
        <color theme="1"/>
        <rFont val="Cambria"/>
        <family val="1"/>
      </rPr>
      <t>Lean Hog(Dormant)</t>
    </r>
    <r>
      <rPr>
        <sz val="9"/>
        <color theme="1"/>
        <rFont val="Cambria"/>
        <family val="1"/>
      </rPr>
      <t>)</t>
    </r>
    <phoneticPr fontId="35" type="noConversion"/>
  </si>
  <si>
    <t>Mini K200 Futures</t>
    <phoneticPr fontId="35" type="noConversion"/>
  </si>
  <si>
    <t>EURO STOXX 50 Futures</t>
    <phoneticPr fontId="35" type="noConversion"/>
  </si>
  <si>
    <t>14</t>
    <phoneticPr fontId="29" type="noConversion"/>
  </si>
  <si>
    <t>Overseas Derivatives</t>
    <phoneticPr fontId="29" type="noConversion"/>
  </si>
  <si>
    <t>13</t>
    <phoneticPr fontId="29" type="noConversion"/>
  </si>
  <si>
    <t>KOSDAQ 150 Options</t>
    <phoneticPr fontId="35" type="noConversion"/>
  </si>
  <si>
    <t>15</t>
    <phoneticPr fontId="29" type="noConversion"/>
  </si>
  <si>
    <t>16</t>
    <phoneticPr fontId="29" type="noConversion"/>
  </si>
  <si>
    <t>K</t>
    <phoneticPr fontId="29" type="noConversion"/>
  </si>
  <si>
    <t>KTS</t>
    <phoneticPr fontId="29" type="noConversion"/>
  </si>
  <si>
    <t>Exchange traded retail bond</t>
    <phoneticPr fontId="29" type="noConversion"/>
  </si>
  <si>
    <t>M</t>
    <phoneticPr fontId="29" type="noConversion"/>
  </si>
  <si>
    <t>Small Bonds</t>
    <phoneticPr fontId="29" type="noConversion"/>
  </si>
  <si>
    <t>KSE Small Bond</t>
    <phoneticPr fontId="35" type="noConversion"/>
  </si>
  <si>
    <t>Exchange Trading Equity-Linked Bond</t>
    <phoneticPr fontId="35" type="noConversion"/>
  </si>
  <si>
    <t>General Bonds</t>
    <phoneticPr fontId="29" type="noConversion"/>
  </si>
  <si>
    <t>B</t>
    <phoneticPr fontId="29" type="noConversion"/>
  </si>
  <si>
    <t>REPO</t>
    <phoneticPr fontId="29" type="noConversion"/>
  </si>
  <si>
    <t>R</t>
    <phoneticPr fontId="29" type="noConversion"/>
  </si>
  <si>
    <t>Exchange traded RP(REPO)</t>
    <phoneticPr fontId="35" type="noConversion"/>
  </si>
  <si>
    <t>Exchange traded regular bond</t>
    <phoneticPr fontId="35" type="noConversion"/>
  </si>
  <si>
    <t>Over-the-counter Bond(Quote)</t>
    <phoneticPr fontId="35" type="noConversion"/>
  </si>
  <si>
    <t>07</t>
    <phoneticPr fontId="29" type="noConversion"/>
  </si>
  <si>
    <t>Bonds</t>
    <phoneticPr fontId="35" type="noConversion"/>
  </si>
  <si>
    <r>
      <rPr>
        <b/>
        <sz val="12"/>
        <color theme="1"/>
        <rFont val="맑은 고딕"/>
        <family val="3"/>
        <charset val="129"/>
      </rPr>
      <t>□</t>
    </r>
    <r>
      <rPr>
        <b/>
        <sz val="12"/>
        <color theme="1"/>
        <rFont val="Cambria"/>
        <family val="1"/>
      </rPr>
      <t xml:space="preserve"> Data and Information Type Code</t>
    </r>
    <phoneticPr fontId="31" type="noConversion"/>
  </si>
  <si>
    <t>Domestic ETF iNAV (insert 1 second interval)
→ Domestic ETP iNAV (insert 1 second interval)</t>
    <phoneticPr fontId="29" type="noConversion"/>
  </si>
  <si>
    <t>- Add POF Listed Class (05S) to Information Type Code</t>
    <phoneticPr fontId="29" type="noConversion"/>
  </si>
  <si>
    <t>Number of Free-floating ETF Shares</t>
    <phoneticPr fontId="29" type="noConversion"/>
  </si>
  <si>
    <t>Previous Day's Tax Base NAV</t>
    <phoneticPr fontId="29" type="noConversion"/>
  </si>
  <si>
    <t>Previous Day's Tax Base NAV Before Dividend</t>
    <phoneticPr fontId="29" type="noConversion"/>
  </si>
  <si>
    <t>Previous Day's Cash Dividend Amount</t>
    <phoneticPr fontId="29" type="noConversion"/>
  </si>
  <si>
    <t>Tax Base NAV as of the Day Before the Previous Day</t>
    <phoneticPr fontId="29" type="noConversion"/>
  </si>
  <si>
    <t>Information Category 03S: Fund unit, 05S: TU unit</t>
    <phoneticPr fontId="29" type="noConversion"/>
  </si>
  <si>
    <t>KOSCOM</t>
    <phoneticPr fontId="29" type="noConversion"/>
  </si>
  <si>
    <t>KOSCOM</t>
    <phoneticPr fontId="29" type="noConversion"/>
  </si>
  <si>
    <t>MAIN
MI : 192.198.1.120
BI : 192.198.1.121
BI2 : …
TIA : 192.161.1.123
DR
MI : 192.198.1.220</t>
    <phoneticPr fontId="29" type="noConversion"/>
  </si>
  <si>
    <t>MAIN
MI: 192.164.1.130
BI :192.164.1.131
TIA: 192.161.2.123
DR
MI: 192.164.1.220</t>
    <phoneticPr fontId="29" type="noConversion"/>
  </si>
  <si>
    <t>Section type</t>
    <phoneticPr fontId="29" type="noConversion"/>
  </si>
  <si>
    <t>- Add Section type Item
- Changed Registration/Designated type to Exchange delisting history</t>
    <phoneticPr fontId="29" type="noConversion"/>
  </si>
  <si>
    <r>
      <t xml:space="preserve">Registration/Designated type →
</t>
    </r>
    <r>
      <rPr>
        <b/>
        <sz val="8"/>
        <color rgb="FF000000"/>
        <rFont val="맑은 고딕"/>
        <family val="3"/>
        <charset val="129"/>
      </rPr>
      <t>Exchange delisting history</t>
    </r>
    <phoneticPr fontId="29" type="noConversion"/>
  </si>
  <si>
    <t>0: normal
1: KRX exchange delisting(KOSDAQ),
2: KRX exchange delisting(KOSPI),
3: KRX exchange delisting(KONEX)</t>
    <phoneticPr fontId="29" type="noConversion"/>
  </si>
  <si>
    <t>4: Registered Division,
5: Designated Division,
6: Delisting Division 
  (0: normal, 1: venture, 2:techno park-normal, 3:techno-park-venture)</t>
    <phoneticPr fontId="29" type="noConversion"/>
  </si>
  <si>
    <t>Number of Settlement Date Category</t>
    <phoneticPr fontId="29" type="noConversion"/>
  </si>
  <si>
    <t>Domestic ETF iNAV (insert 1 second interval)
Domestic ETF Estimated iNAV (insert 1 second interval)
POF Listed Class iNAV
POF Listed Class Estimated iNAV</t>
    <phoneticPr fontId="29" type="noConversion"/>
  </si>
  <si>
    <t>BV03S
BW03S
BV05S
BW05S</t>
    <phoneticPr fontId="29" type="noConversion"/>
  </si>
  <si>
    <r>
      <t>MKF Bond Index</t>
    </r>
    <r>
      <rPr>
        <sz val="9"/>
        <color rgb="FF000000"/>
        <rFont val="맑은 고딕"/>
        <family val="3"/>
        <charset val="129"/>
      </rPr>
      <t xml:space="preserve">
KIS Bond Index
</t>
    </r>
    <r>
      <rPr>
        <sz val="9"/>
        <color rgb="FF000000"/>
        <rFont val="맑은 고딕"/>
        <family val="3"/>
        <charset val="129"/>
      </rPr>
      <t xml:space="preserve">KEBI Bond Index
KABI Bond Index
</t>
    </r>
    <r>
      <rPr>
        <sz val="9"/>
        <color rgb="FF000000"/>
        <rFont val="맑은 고딕"/>
        <family val="3"/>
        <charset val="129"/>
      </rPr>
      <t>NicePNI Bond Index</t>
    </r>
    <phoneticPr fontId="29" type="noConversion"/>
  </si>
  <si>
    <r>
      <t xml:space="preserve">K0000
</t>
    </r>
    <r>
      <rPr>
        <sz val="9"/>
        <color rgb="FF000000"/>
        <rFont val="맑은 고딕"/>
        <family val="3"/>
        <charset val="129"/>
      </rPr>
      <t>L6000</t>
    </r>
    <r>
      <rPr>
        <sz val="9"/>
        <color rgb="FF000000"/>
        <rFont val="맑은 고딕"/>
        <family val="3"/>
        <charset val="129"/>
      </rPr>
      <t xml:space="preserve">
K6000
Q6000</t>
    </r>
    <r>
      <rPr>
        <sz val="9"/>
        <color rgb="FF000000"/>
        <rFont val="맑은 고딕"/>
        <family val="3"/>
        <charset val="129"/>
      </rPr>
      <t xml:space="preserve">
CE000</t>
    </r>
    <phoneticPr fontId="29" type="noConversion"/>
  </si>
  <si>
    <t>Bond Line 8M
Bond Line 512K</t>
    <phoneticPr fontId="29" type="noConversion"/>
  </si>
  <si>
    <t>233.38.231.168</t>
    <phoneticPr fontId="29" type="noConversion"/>
  </si>
  <si>
    <t>OTC Bond Final Quotes Yield</t>
    <phoneticPr fontId="29" type="noConversion"/>
  </si>
  <si>
    <t>J5077</t>
    <phoneticPr fontId="29" type="noConversion"/>
  </si>
  <si>
    <t>OTC Bond Traded Info</t>
    <phoneticPr fontId="29" type="noConversion"/>
  </si>
  <si>
    <t>J6077</t>
    <phoneticPr fontId="29" type="noConversion"/>
  </si>
  <si>
    <t>※ OTC Bond Final Quotes Yield Multicast Group IP Separation  2026.04.01</t>
    <phoneticPr fontId="29" type="noConversion"/>
  </si>
  <si>
    <t>- K-OTC Issue Batch(A0013) : Add Section type Item</t>
    <phoneticPr fontId="29" type="noConversion"/>
  </si>
  <si>
    <t>- OTC Bond Final Quotes Yield Multicast Group IP Separation</t>
    <phoneticPr fontId="29" type="noConversion"/>
  </si>
  <si>
    <t>- OTC Bond Final Quotes Yield(J5077)</t>
    <phoneticPr fontId="29" type="noConversion"/>
  </si>
  <si>
    <t>- Add new Multicast Group IP</t>
    <phoneticPr fontId="29" type="noConversion"/>
  </si>
  <si>
    <t>- Additional TR related to KOSDAQ BDC</t>
    <phoneticPr fontId="29" type="noConversion"/>
  </si>
  <si>
    <t xml:space="preserve">ETP/BDC Operator Information </t>
    <phoneticPr fontId="29" type="noConversion"/>
  </si>
  <si>
    <t>ETP/BDC Transfer Agent Batch Data</t>
    <phoneticPr fontId="29" type="noConversion"/>
  </si>
  <si>
    <t>9999999V99 Information Category 03S: Fund unit, 05S: TU unit</t>
    <phoneticPr fontId="29" type="noConversion"/>
  </si>
  <si>
    <t>9999999999V99 Information Category 03S: Fund unit, 05S: TU unit</t>
    <phoneticPr fontId="29" type="noConversion"/>
  </si>
  <si>
    <t>03S: ETF, 05S: POF Listed Class</t>
    <phoneticPr fontId="29" type="noConversion"/>
  </si>
  <si>
    <t>9(7)V9(2) Information Category 03S: Fund unit, 05S: TU unit</t>
    <phoneticPr fontId="29" type="noConversion"/>
  </si>
  <si>
    <t>03S :ETF, 05S: POF Listed Class</t>
    <phoneticPr fontId="29" type="noConversion"/>
  </si>
  <si>
    <t>Standard Code(ISIN)  ISIN</t>
    <phoneticPr fontId="29" type="noConversion"/>
  </si>
  <si>
    <t>049: Korea Fund Partners
905: Shinhan Fund Partners
906: WOORI FUND SERVICES 2023.04.10 new
907: HANA FUND SERVICES 2024.09.09 new
909: KB FUND PARTNERS 2024.08.19 new</t>
    <phoneticPr fontId="29" type="noConversion"/>
  </si>
  <si>
    <t>Index Derivatives</t>
    <phoneticPr fontId="29" type="noConversion"/>
  </si>
  <si>
    <t>K150 Weekly Options</t>
    <phoneticPr fontId="35" type="noConversion"/>
  </si>
  <si>
    <t>F</t>
    <phoneticPr fontId="35" type="noConversion"/>
  </si>
  <si>
    <t>17F</t>
    <phoneticPr fontId="35" type="noConversion"/>
  </si>
  <si>
    <t>- Add KOSDAQ BDC (01Q) to Information Type Code</t>
    <phoneticPr fontId="29" type="noConversion"/>
  </si>
  <si>
    <t>- Transfer Agent Batch Data (N8)
- Operator Information (M8)</t>
    <phoneticPr fontId="29" type="noConversion"/>
  </si>
  <si>
    <t>M803S/M805S/M801Q</t>
    <phoneticPr fontId="29" type="noConversion"/>
  </si>
  <si>
    <t>N803S/N805S/N801Q</t>
    <phoneticPr fontId="29" type="noConversion"/>
  </si>
  <si>
    <t>Commodity Futures_Spot Market Info USD Real-Time Data 8</t>
    <phoneticPr fontId="29" type="noConversion"/>
  </si>
  <si>
    <t>- Commodity Futures_Spot Market Info USD (H906F)
- Commodity Futures_Spot Market Info USD Batch Data (I006F)
- Commodity Futures_Spot Market Info USD Real-Time Data (I106F)</t>
    <phoneticPr fontId="29" type="noConversion"/>
  </si>
  <si>
    <t>- ETP/BDC Transfer Agent Batch Data (N8)
- ETF PDF(F8)</t>
    <phoneticPr fontId="29" type="noConversion"/>
  </si>
  <si>
    <t>03S: ETF, 05S: POF Listed Class, 01Q: KOSDAQ BDC</t>
    <phoneticPr fontId="29" type="noConversion"/>
  </si>
  <si>
    <t>9(7)V9(2)
Information Category 03S: Final NAV of the previous business day, Fund unit
Information Category 05S: TU unit
Information Category 01Q: Final NAV of the previous business day, Fund unit</t>
    <phoneticPr fontId="29" type="noConversion"/>
  </si>
  <si>
    <t>62 → 46                                       2026.08.10 changed</t>
    <phoneticPr fontId="29" type="noConversion"/>
  </si>
  <si>
    <t>SPACE                                     2026.08.10 changed</t>
    <phoneticPr fontId="29" type="noConversion"/>
  </si>
  <si>
    <t>2 → 4</t>
    <phoneticPr fontId="29" type="noConversion"/>
  </si>
  <si>
    <r>
      <t xml:space="preserve">※1cu unit share/number of contract/krw cash/usd cash/warehouse warrant
unit is defined by the composion issue code(7th field)
- stock→unit:share (if the first field is "-"(minus signal), it means short stock selling)
krw cash,swap,FX Forward(2014.06.16)→unit:krw (if the value for cash is "-", the first field will be "-" 
- futures→unit contract
예) →ask position: -00000000000345634
  →bid position: 000000000000345634
- integration of digits as 9999999999999999v99 → </t>
    </r>
    <r>
      <rPr>
        <b/>
        <sz val="8"/>
        <color rgb="FF000000"/>
        <rFont val="맑은 고딕"/>
        <family val="3"/>
        <charset val="129"/>
      </rPr>
      <t>99999999999999v9999</t>
    </r>
    <r>
      <rPr>
        <sz val="8"/>
        <color rgb="FF000000"/>
        <rFont val="맑은 고딕"/>
        <family val="3"/>
        <charset val="129"/>
      </rPr>
      <t xml:space="preserve">
- if the composition issue code is us73936b5075 → unit:share(not changed)
- if issue code is nymfu000clq0/nymfu000clu0 → unit: contract
- if the composition issue code is usdzz0000001 → unit: dollar
- warehouse warrant &amp; warrant → unit: kg</t>
    </r>
    <phoneticPr fontId="29" type="noConversion"/>
  </si>
  <si>
    <t>1CU unit share/Number of contract/KRW Cash/USD Cash/Converted amount(KRW)</t>
    <phoneticPr fontId="29" type="noConversion"/>
  </si>
  <si>
    <t>Job Code</t>
    <phoneticPr fontId="29" type="noConversion"/>
  </si>
  <si>
    <t>* ETP Agent Batch and ETP PDF Specluation Shift</t>
    <phoneticPr fontId="29" type="noConversion"/>
  </si>
  <si>
    <t xml:space="preserve">* 24 hours operation of Domesitc Foreign Currency Market </t>
    <phoneticPr fontId="29" type="noConversion"/>
  </si>
  <si>
    <t xml:space="preserve">- Change of Data Distribution in Line with Domestic Foreign Currency Market 24 hours open Dome
- Termination of Providing Job Code FBE1, FBF1, FBF2 
- Termination of Providing Job Code COA1 </t>
    <phoneticPr fontId="29" type="noConversion"/>
  </si>
  <si>
    <t>- Field position and lengh shift of Number of Free-floating ETF Shares
- Formation Shifting of 1CU unit share/Number of contract/KRW Cash/USD Cash/Converted amount(KRW) : 9(16)V9(2)→9(14)V9(4)</t>
    <phoneticPr fontId="29" type="noConversion"/>
  </si>
  <si>
    <r>
      <t xml:space="preserve">ETF Operator Information
BDC Operator Information
ETF Transfer Agent Batch Data
</t>
    </r>
    <r>
      <rPr>
        <b/>
        <sz val="9"/>
        <color theme="1"/>
        <rFont val="맑은 고딕"/>
        <family val="3"/>
        <charset val="129"/>
      </rPr>
      <t>BDC Transfer Agent Batch Data</t>
    </r>
    <r>
      <rPr>
        <sz val="9"/>
        <color theme="1"/>
        <rFont val="맑은 고딕"/>
        <family val="3"/>
        <charset val="129"/>
      </rPr>
      <t xml:space="preserve">
</t>
    </r>
    <r>
      <rPr>
        <b/>
        <sz val="9"/>
        <color theme="1"/>
        <rFont val="맑은 고딕"/>
        <family val="3"/>
        <charset val="129"/>
      </rPr>
      <t>Exchange Traded Fund PDF</t>
    </r>
    <r>
      <rPr>
        <sz val="9"/>
        <color theme="1"/>
        <rFont val="맑은 고딕"/>
        <family val="3"/>
        <charset val="129"/>
      </rPr>
      <t xml:space="preserve">
POF Listed Class Operator Information
POF Listed Class Transfer Agent Batch Data
POF Listed Class PDF
ETF Tracking Error
Daily Counterparty Risk Exposure of Synthetic ETFs
Synthetic ETF Basic Index Constituents
ETN Transfer Agent Batch Data
ETN Basic Index Constituents
ETN Premium/Discount</t>
    </r>
    <phoneticPr fontId="29" type="noConversion"/>
  </si>
  <si>
    <r>
      <t xml:space="preserve">M803S
M801Q
N803S
</t>
    </r>
    <r>
      <rPr>
        <b/>
        <sz val="9"/>
        <color theme="1"/>
        <rFont val="맑은 고딕"/>
        <family val="3"/>
        <charset val="129"/>
      </rPr>
      <t>N801Q</t>
    </r>
    <r>
      <rPr>
        <sz val="9"/>
        <color theme="1"/>
        <rFont val="맑은 고딕"/>
        <family val="3"/>
        <charset val="129"/>
      </rPr>
      <t xml:space="preserve">
</t>
    </r>
    <r>
      <rPr>
        <b/>
        <sz val="9"/>
        <color theme="1"/>
        <rFont val="맑은 고딕"/>
        <family val="3"/>
        <charset val="129"/>
      </rPr>
      <t>F803S</t>
    </r>
    <r>
      <rPr>
        <sz val="9"/>
        <color theme="1"/>
        <rFont val="맑은 고딕"/>
        <family val="3"/>
        <charset val="129"/>
      </rPr>
      <t xml:space="preserve">
M805S
N805S
F805S
P603S
Q403S
Q503S
S104S
S204S
X404S</t>
    </r>
    <phoneticPr fontId="29" type="noConversion"/>
  </si>
  <si>
    <r>
      <rPr>
        <b/>
        <sz val="9"/>
        <color theme="1"/>
        <rFont val="맑은 고딕"/>
        <family val="3"/>
        <charset val="129"/>
        <scheme val="minor"/>
      </rPr>
      <t>Commodity Futures_Spot Market Info USD
Commodity Futures_Spot Market Info USD Batch
Commodity Futures_Spot Market Info USD Real-Time</t>
    </r>
    <r>
      <rPr>
        <sz val="9"/>
        <color theme="1"/>
        <rFont val="맑은 고딕"/>
        <family val="3"/>
        <charset val="129"/>
        <scheme val="minor"/>
      </rPr>
      <t xml:space="preserve">
Commodity Futures_Spot Market Info CNH Real-Time
Polling</t>
    </r>
    <phoneticPr fontId="29" type="noConversion"/>
  </si>
  <si>
    <r>
      <rPr>
        <b/>
        <sz val="9"/>
        <color theme="1"/>
        <rFont val="맑은 고딕"/>
        <family val="3"/>
        <charset val="129"/>
        <scheme val="minor"/>
      </rPr>
      <t>H906F
I006F
I106F</t>
    </r>
    <r>
      <rPr>
        <sz val="9"/>
        <color theme="1"/>
        <rFont val="맑은 고딕"/>
        <family val="3"/>
        <charset val="129"/>
        <scheme val="minor"/>
      </rPr>
      <t xml:space="preserve">
I106F
I2000
</t>
    </r>
    <phoneticPr fontId="29" type="noConversion"/>
  </si>
  <si>
    <t>Number of Free-floating ETF Shares
→ FILLER2</t>
    <phoneticPr fontId="2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</si>
</sst>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_-;\-* #,##0_-;_-* &quot;-&quot;_-;_-@_-"/>
    <numFmt numFmtId="176" formatCode="_(* #,##0_);_(* \(#,##0\);_(* &quot;-&quot;_);_(@_)"/>
    <numFmt numFmtId="177" formatCode="0.00_ "/>
  </numFmts>
  <fonts count="52">
    <font>
      <sz val="11"/>
      <color rgb="FF000000"/>
      <name val="맑은 고딕"/>
    </font>
    <font>
      <u/>
      <sz val="11"/>
      <color rgb="FF0000FF"/>
      <name val="맑은 고딕"/>
      <family val="3"/>
      <charset val="129"/>
    </font>
    <font>
      <u/>
      <sz val="9.35"/>
      <color rgb="FF0563C1"/>
      <name val="맑은 고딕"/>
      <family val="3"/>
      <charset val="129"/>
    </font>
    <font>
      <sz val="10"/>
      <color rgb="FF000000"/>
      <name val="맑은 고딕"/>
      <family val="3"/>
      <charset val="129"/>
    </font>
    <font>
      <sz val="11"/>
      <color rgb="FF000000"/>
      <name val="돋움"/>
      <family val="3"/>
      <charset val="129"/>
    </font>
    <font>
      <sz val="8"/>
      <color rgb="FF000000"/>
      <name val="Dotum"/>
      <family val="3"/>
      <charset val="129"/>
    </font>
    <font>
      <sz val="8"/>
      <color rgb="FF000000"/>
      <name val="나눔고딕코딩"/>
      <family val="3"/>
      <charset val="129"/>
    </font>
    <font>
      <sz val="10"/>
      <color rgb="FF000000"/>
      <name val="Arial"/>
      <family val="2"/>
    </font>
    <font>
      <u/>
      <sz val="7.65"/>
      <color rgb="FF0563C1"/>
      <name val="맑은 고딕"/>
      <family val="3"/>
      <charset val="129"/>
    </font>
    <font>
      <sz val="8"/>
      <color rgb="FF000000"/>
      <name val="맑은 고딕"/>
      <family val="3"/>
      <charset val="129"/>
    </font>
    <font>
      <b/>
      <sz val="8"/>
      <color rgb="FF000000"/>
      <name val="맑은 고딕"/>
      <family val="3"/>
      <charset val="129"/>
    </font>
    <font>
      <sz val="8"/>
      <color rgb="FF0563C1"/>
      <name val="맑은 고딕"/>
      <family val="3"/>
      <charset val="129"/>
    </font>
    <font>
      <b/>
      <sz val="9"/>
      <color rgb="FF000000"/>
      <name val="맑은 고딕"/>
      <family val="3"/>
      <charset val="129"/>
    </font>
    <font>
      <b/>
      <sz val="12"/>
      <color rgb="FF000000"/>
      <name val="맑은 고딕"/>
      <family val="3"/>
      <charset val="129"/>
    </font>
    <font>
      <sz val="9"/>
      <color rgb="FF000000"/>
      <name val="맑은 고딕"/>
      <family val="3"/>
      <charset val="129"/>
    </font>
    <font>
      <b/>
      <sz val="10"/>
      <color rgb="FF000000"/>
      <name val="맑은 고딕"/>
      <family val="3"/>
      <charset val="129"/>
    </font>
    <font>
      <b/>
      <sz val="9"/>
      <color rgb="FF000000"/>
      <name val="Cambria"/>
      <family val="1"/>
    </font>
    <font>
      <sz val="8"/>
      <color rgb="FF000000"/>
      <name val="Cambria"/>
      <family val="1"/>
    </font>
    <font>
      <b/>
      <sz val="7"/>
      <color rgb="FFFF0000"/>
      <name val="Cambria"/>
      <family val="1"/>
    </font>
    <font>
      <b/>
      <sz val="8"/>
      <color rgb="FF000000"/>
      <name val="Cambria"/>
      <family val="1"/>
    </font>
    <font>
      <b/>
      <sz val="7"/>
      <color rgb="FF000000"/>
      <name val="Cambria"/>
      <family val="1"/>
    </font>
    <font>
      <b/>
      <sz val="10"/>
      <color rgb="FF000000"/>
      <name val="Cambria"/>
      <family val="1"/>
    </font>
    <font>
      <b/>
      <sz val="20"/>
      <color rgb="FF000000"/>
      <name val="Cambria"/>
      <family val="1"/>
    </font>
    <font>
      <sz val="8"/>
      <color rgb="FF000000"/>
      <name val="굴림"/>
      <family val="3"/>
      <charset val="129"/>
    </font>
    <font>
      <sz val="9"/>
      <color rgb="FF000000"/>
      <name val="Tahoma"/>
      <family val="2"/>
    </font>
    <font>
      <sz val="9"/>
      <color rgb="FF000000"/>
      <name val="돋움"/>
      <family val="3"/>
      <charset val="129"/>
    </font>
    <font>
      <b/>
      <sz val="9"/>
      <color rgb="FF000000"/>
      <name val="돋움"/>
      <family val="3"/>
      <charset val="129"/>
    </font>
    <font>
      <b/>
      <sz val="9"/>
      <color rgb="FF000000"/>
      <name val="Tahoma"/>
      <family val="2"/>
    </font>
    <font>
      <sz val="11"/>
      <color rgb="FF000000"/>
      <name val="맑은 고딕"/>
      <family val="3"/>
      <charset val="129"/>
    </font>
    <font>
      <sz val="8"/>
      <name val="돋움"/>
      <family val="3"/>
      <charset val="129"/>
    </font>
    <font>
      <sz val="8"/>
      <color theme="1"/>
      <name val="맑은 고딕"/>
      <family val="3"/>
      <charset val="129"/>
    </font>
    <font>
      <sz val="8"/>
      <name val="맑은 고딕"/>
      <family val="3"/>
      <charset val="129"/>
    </font>
    <font>
      <sz val="9"/>
      <color theme="1"/>
      <name val="맑은 고딕"/>
      <family val="3"/>
      <charset val="129"/>
    </font>
    <font>
      <sz val="9"/>
      <name val="맑은 고딕"/>
      <family val="3"/>
      <charset val="129"/>
    </font>
    <font>
      <sz val="9"/>
      <name val="D2Coding"/>
      <family val="3"/>
      <charset val="129"/>
    </font>
    <font>
      <sz val="8"/>
      <name val="맑은 고딕"/>
      <family val="3"/>
      <charset val="129"/>
      <scheme val="minor"/>
    </font>
    <font>
      <sz val="8"/>
      <name val="Dotum"/>
      <family val="3"/>
      <charset val="129"/>
    </font>
    <font>
      <sz val="8"/>
      <color theme="1"/>
      <name val="맑은 고딕"/>
      <family val="3"/>
      <charset val="129"/>
      <scheme val="major"/>
    </font>
    <font>
      <sz val="8"/>
      <color rgb="FF000000"/>
      <name val="맑은 고딕"/>
      <family val="3"/>
      <charset val="129"/>
      <scheme val="minor"/>
    </font>
    <font>
      <sz val="8"/>
      <name val="Cambria"/>
      <family val="1"/>
    </font>
    <font>
      <sz val="9"/>
      <color theme="1"/>
      <name val="맑은 고딕"/>
      <family val="3"/>
      <charset val="129"/>
      <scheme val="major"/>
    </font>
    <font>
      <sz val="9"/>
      <color theme="1"/>
      <name val="맑은 고딕"/>
      <family val="3"/>
      <charset val="129"/>
      <scheme val="minor"/>
    </font>
    <font>
      <sz val="8"/>
      <color theme="1"/>
      <name val="Cambria"/>
      <family val="1"/>
    </font>
    <font>
      <b/>
      <sz val="12"/>
      <color theme="1"/>
      <name val="Cambria"/>
      <family val="1"/>
    </font>
    <font>
      <b/>
      <sz val="12"/>
      <color theme="1"/>
      <name val="맑은 고딕"/>
      <family val="3"/>
      <charset val="129"/>
    </font>
    <font>
      <b/>
      <sz val="12"/>
      <name val="Cambria"/>
      <family val="1"/>
    </font>
    <font>
      <b/>
      <sz val="12"/>
      <name val="Arial"/>
      <family val="2"/>
    </font>
    <font>
      <sz val="9"/>
      <color theme="1"/>
      <name val="Cambria"/>
      <family val="1"/>
    </font>
    <font>
      <sz val="10"/>
      <color theme="1"/>
      <name val="Arial"/>
      <family val="2"/>
    </font>
    <font>
      <strike/>
      <sz val="9"/>
      <color theme="1"/>
      <name val="Cambria"/>
      <family val="1"/>
    </font>
    <font>
      <b/>
      <sz val="9"/>
      <color theme="1"/>
      <name val="맑은 고딕"/>
      <family val="3"/>
      <charset val="129"/>
    </font>
    <font>
      <b/>
      <sz val="9"/>
      <color theme="1"/>
      <name val="맑은 고딕"/>
      <family val="3"/>
      <charset val="129"/>
      <scheme val="minor"/>
    </font>
  </fonts>
  <fills count="12">
    <fill>
      <patternFill patternType="none"/>
    </fill>
    <fill>
      <patternFill patternType="gray125"/>
    </fill>
    <fill>
      <patternFill patternType="solid">
        <fgColor rgb="FFFFFFFF"/>
        <bgColor rgb="FF000000"/>
      </patternFill>
    </fill>
    <fill>
      <patternFill patternType="solid">
        <fgColor rgb="FFBFBFBF"/>
        <bgColor rgb="FF000000"/>
      </patternFill>
    </fill>
    <fill>
      <patternFill patternType="solid">
        <fgColor rgb="FFC0C0C0"/>
      </patternFill>
    </fill>
    <fill>
      <patternFill patternType="solid">
        <fgColor rgb="FFA6A6A6"/>
      </patternFill>
    </fill>
    <fill>
      <patternFill patternType="solid">
        <fgColor rgb="FFCCCCFF"/>
      </patternFill>
    </fill>
    <fill>
      <patternFill patternType="solid">
        <fgColor rgb="FFFFFFFF"/>
      </patternFill>
    </fill>
    <fill>
      <patternFill patternType="solid">
        <fgColor rgb="FFBFBFBF"/>
      </patternFill>
    </fill>
    <fill>
      <patternFill patternType="solid">
        <fgColor rgb="FFFFFF00"/>
        <bgColor indexed="64"/>
      </patternFill>
    </fill>
    <fill>
      <patternFill patternType="solid">
        <fgColor theme="0"/>
        <bgColor indexed="64"/>
      </patternFill>
    </fill>
    <fill>
      <patternFill patternType="solid">
        <fgColor rgb="FFCCCCFF"/>
        <bgColor indexed="64"/>
      </patternFill>
    </fill>
  </fills>
  <borders count="62">
    <border>
      <left/>
      <right/>
      <top/>
      <bottom/>
      <diagonal/>
    </border>
    <border diagonalUp="1" diagonalDown="1">
      <left style="thin">
        <color indexed="64"/>
      </left>
      <right style="thin">
        <color indexed="64"/>
      </right>
      <top style="thin">
        <color indexed="64"/>
      </top>
      <bottom style="thin">
        <color indexed="64"/>
      </bottom>
      <diagonal/>
    </border>
    <border diagonalUp="1" diagonalDown="1">
      <left/>
      <right style="thin">
        <color indexed="64"/>
      </right>
      <top style="thin">
        <color indexed="64"/>
      </top>
      <bottom style="thin">
        <color indexed="64"/>
      </bottom>
      <diagonal/>
    </border>
    <border diagonalUp="1" diagonalDown="1">
      <left/>
      <right/>
      <top style="thin">
        <color indexed="64"/>
      </top>
      <bottom style="thin">
        <color indexed="64"/>
      </bottom>
      <diagonal/>
    </border>
    <border diagonalUp="1" diagonalDown="1">
      <left style="thin">
        <color indexed="64"/>
      </left>
      <right style="thin">
        <color indexed="64"/>
      </right>
      <top style="thin">
        <color indexed="64"/>
      </top>
      <bottom/>
      <diagonal/>
    </border>
    <border diagonalUp="1" diagonalDown="1">
      <left style="thin">
        <color indexed="64"/>
      </left>
      <right style="thin">
        <color indexed="64"/>
      </right>
      <top/>
      <bottom/>
      <diagonal/>
    </border>
    <border diagonalUp="1" diagonalDown="1">
      <left style="thin">
        <color indexed="64"/>
      </left>
      <right style="thin">
        <color indexed="64"/>
      </right>
      <top style="thin">
        <color rgb="FFBFBFBF"/>
      </top>
      <bottom style="thin">
        <color rgb="FFBFBFBF"/>
      </bottom>
      <diagonal/>
    </border>
    <border diagonalUp="1" diagonalDown="1">
      <left style="thin">
        <color indexed="64"/>
      </left>
      <right/>
      <top style="thin">
        <color rgb="FFBFBFBF"/>
      </top>
      <bottom style="thin">
        <color rgb="FFBFBFBF"/>
      </bottom>
      <diagonal/>
    </border>
    <border diagonalUp="1" diagonalDown="1">
      <left style="thin">
        <color indexed="64"/>
      </left>
      <right style="thin">
        <color indexed="64"/>
      </right>
      <top style="thin">
        <color indexed="64"/>
      </top>
      <bottom style="thin">
        <color rgb="FFBFBFBF"/>
      </bottom>
      <diagonal/>
    </border>
    <border diagonalUp="1" diagonalDown="1">
      <left/>
      <right/>
      <top style="thin">
        <color rgb="FFBFBFBF"/>
      </top>
      <bottom style="thin">
        <color rgb="FFBFBFBF"/>
      </bottom>
      <diagonal/>
    </border>
    <border diagonalUp="1" diagonalDown="1">
      <left style="thin">
        <color indexed="64"/>
      </left>
      <right style="thin">
        <color indexed="64"/>
      </right>
      <top/>
      <bottom style="thin">
        <color rgb="FFBFBFBF"/>
      </bottom>
      <diagonal/>
    </border>
    <border diagonalUp="1" diagonalDown="1">
      <left style="thin">
        <color indexed="64"/>
      </left>
      <right style="thin">
        <color indexed="64"/>
      </right>
      <top style="thin">
        <color rgb="FFBFBFBF"/>
      </top>
      <bottom style="thin">
        <color indexed="64"/>
      </bottom>
      <diagonal/>
    </border>
    <border diagonalUp="1" diagonalDown="1">
      <left style="thin">
        <color indexed="64"/>
      </left>
      <right style="thin">
        <color indexed="64"/>
      </right>
      <top/>
      <bottom style="thin">
        <color indexed="64"/>
      </bottom>
      <diagonal/>
    </border>
    <border diagonalUp="1" diagonalDown="1">
      <left/>
      <right/>
      <top style="thin">
        <color rgb="FFBFBFBF"/>
      </top>
      <bottom style="thin">
        <color indexed="64"/>
      </bottom>
      <diagonal/>
    </border>
    <border diagonalUp="1" diagonalDown="1">
      <left/>
      <right/>
      <top/>
      <bottom style="thin">
        <color rgb="FFBFBFBF"/>
      </bottom>
      <diagonal/>
    </border>
    <border diagonalUp="1" diagonalDown="1">
      <left style="thin">
        <color indexed="64"/>
      </left>
      <right/>
      <top/>
      <bottom style="thin">
        <color rgb="FFBFBFBF"/>
      </bottom>
      <diagonal/>
    </border>
    <border diagonalUp="1" diagonalDown="1">
      <left style="thin">
        <color indexed="64"/>
      </left>
      <right/>
      <top style="thin">
        <color rgb="FFBFBFBF"/>
      </top>
      <bottom style="thin">
        <color indexed="64"/>
      </bottom>
      <diagonal/>
    </border>
    <border diagonalUp="1" diagonalDown="1">
      <left style="thin">
        <color indexed="64"/>
      </left>
      <right/>
      <top/>
      <bottom style="thin">
        <color indexed="64"/>
      </bottom>
      <diagonal/>
    </border>
    <border diagonalUp="1" diagonalDown="1">
      <left style="thin">
        <color indexed="64"/>
      </left>
      <right/>
      <top/>
      <bottom/>
      <diagonal/>
    </border>
    <border diagonalUp="1" diagonalDown="1">
      <left/>
      <right style="thin">
        <color indexed="64"/>
      </right>
      <top style="thin">
        <color rgb="FFBFBFBF"/>
      </top>
      <bottom style="thin">
        <color indexed="64"/>
      </bottom>
      <diagonal/>
    </border>
    <border diagonalUp="1" diagonalDown="1">
      <left/>
      <right style="thin">
        <color indexed="64"/>
      </right>
      <top/>
      <bottom/>
      <diagonal/>
    </border>
    <border diagonalUp="1" diagonalDown="1">
      <left/>
      <right style="thin">
        <color indexed="64"/>
      </right>
      <top/>
      <bottom style="thin">
        <color indexed="64"/>
      </bottom>
      <diagonal/>
    </border>
    <border diagonalUp="1" diagonalDown="1">
      <left/>
      <right style="thin">
        <color rgb="FFBFBFBF"/>
      </right>
      <top/>
      <bottom style="thin">
        <color rgb="FFBFBFBF"/>
      </bottom>
      <diagonal/>
    </border>
    <border diagonalUp="1" diagonalDown="1">
      <left style="thin">
        <color rgb="FFBFBFBF"/>
      </left>
      <right style="thin">
        <color rgb="FFBFBFBF"/>
      </right>
      <top/>
      <bottom style="thin">
        <color rgb="FFBFBFBF"/>
      </bottom>
      <diagonal/>
    </border>
    <border diagonalUp="1" diagonalDown="1">
      <left/>
      <right style="thin">
        <color rgb="FFBFBFBF"/>
      </right>
      <top style="thin">
        <color rgb="FFBFBFBF"/>
      </top>
      <bottom style="thin">
        <color rgb="FFBFBFBF"/>
      </bottom>
      <diagonal/>
    </border>
    <border diagonalUp="1" diagonalDown="1">
      <left style="thin">
        <color rgb="FFBFBFBF"/>
      </left>
      <right style="thin">
        <color rgb="FFBFBFBF"/>
      </right>
      <top style="thin">
        <color rgb="FFBFBFBF"/>
      </top>
      <bottom style="thin">
        <color rgb="FFBFBFBF"/>
      </bottom>
      <diagonal/>
    </border>
    <border diagonalUp="1" diagonalDown="1">
      <left style="thin">
        <color indexed="64"/>
      </left>
      <right/>
      <top style="thin">
        <color indexed="64"/>
      </top>
      <bottom style="thin">
        <color indexed="64"/>
      </bottom>
      <diagonal/>
    </border>
    <border diagonalUp="1" diagonalDown="1">
      <left/>
      <right/>
      <top/>
      <bottom style="thin">
        <color indexed="64"/>
      </bottom>
      <diagonal/>
    </border>
    <border diagonalUp="1" diagonalDown="1">
      <left style="thin">
        <color indexed="64"/>
      </left>
      <right style="thin">
        <color indexed="64"/>
      </right>
      <top style="thin">
        <color indexed="64"/>
      </top>
      <bottom style="medium">
        <color indexed="64"/>
      </bottom>
      <diagonal/>
    </border>
    <border diagonalUp="1" diagonalDown="1">
      <left/>
      <right style="thin">
        <color indexed="64"/>
      </right>
      <top style="thin">
        <color indexed="64"/>
      </top>
      <bottom style="medium">
        <color indexed="64"/>
      </bottom>
      <diagonal/>
    </border>
    <border diagonalUp="1" diagonalDown="1">
      <left style="thin">
        <color indexed="64"/>
      </left>
      <right style="thin">
        <color indexed="64"/>
      </right>
      <top style="thin">
        <color rgb="FFD9D9D9"/>
      </top>
      <bottom style="thin">
        <color rgb="FFD9D9D9"/>
      </bottom>
      <diagonal/>
    </border>
    <border diagonalUp="1" diagonalDown="1">
      <left style="thin">
        <color indexed="64"/>
      </left>
      <right style="thin">
        <color indexed="64"/>
      </right>
      <top/>
      <bottom style="thin">
        <color rgb="FFD9D9D9"/>
      </bottom>
      <diagonal/>
    </border>
    <border diagonalUp="1" diagonalDown="1">
      <left style="thin">
        <color indexed="64"/>
      </left>
      <right style="thin">
        <color indexed="64"/>
      </right>
      <top style="thin">
        <color rgb="FFD9D9D9"/>
      </top>
      <bottom style="thin">
        <color indexed="64"/>
      </bottom>
      <diagonal/>
    </border>
    <border diagonalUp="1" diagonalDown="1">
      <left/>
      <right style="thin">
        <color indexed="64"/>
      </right>
      <top/>
      <bottom style="thin">
        <color rgb="FFBFBFBF"/>
      </bottom>
      <diagonal/>
    </border>
    <border diagonalUp="1" diagonalDown="1">
      <left style="thin">
        <color indexed="64"/>
      </left>
      <right style="thin">
        <color indexed="64"/>
      </right>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rgb="FFBFBFBF"/>
      </top>
      <bottom style="thin">
        <color rgb="FFBFBFBF"/>
      </bottom>
      <diagonal/>
    </border>
    <border>
      <left style="thin">
        <color indexed="64"/>
      </left>
      <right style="thin">
        <color indexed="64"/>
      </right>
      <top/>
      <bottom style="thin">
        <color rgb="FFBFBFBF"/>
      </bottom>
      <diagonal/>
    </border>
    <border>
      <left/>
      <right/>
      <top style="thin">
        <color rgb="FFBFBFBF"/>
      </top>
      <bottom style="thin">
        <color rgb="FFBFBFBF"/>
      </bottom>
      <diagonal/>
    </border>
    <border>
      <left style="thin">
        <color indexed="64"/>
      </left>
      <right style="thin">
        <color indexed="64"/>
      </right>
      <top style="thin">
        <color rgb="FFBFBFBF"/>
      </top>
      <bottom style="thin">
        <color rgb="FFBFBFBF"/>
      </bottom>
      <diagonal/>
    </border>
    <border>
      <left style="thin">
        <color indexed="64"/>
      </left>
      <right style="thin">
        <color indexed="64"/>
      </right>
      <top style="thin">
        <color rgb="FFD9D9D9"/>
      </top>
      <bottom style="thin">
        <color rgb="FFD9D9D9"/>
      </bottom>
      <diagonal/>
    </border>
    <border>
      <left style="thin">
        <color indexed="64"/>
      </left>
      <right/>
      <top style="thin">
        <color rgb="FFBFBFBF"/>
      </top>
      <bottom style="thin">
        <color indexed="64"/>
      </bottom>
      <diagonal/>
    </border>
    <border>
      <left/>
      <right/>
      <top style="thin">
        <color rgb="FFBFBFBF"/>
      </top>
      <bottom style="thin">
        <color indexed="64"/>
      </bottom>
      <diagonal/>
    </border>
    <border>
      <left style="thin">
        <color indexed="64"/>
      </left>
      <right style="thin">
        <color indexed="64"/>
      </right>
      <top style="thin">
        <color rgb="FFBFBFBF"/>
      </top>
      <bottom style="thin">
        <color indexed="64"/>
      </bottom>
      <diagonal/>
    </border>
    <border>
      <left style="thin">
        <color indexed="64"/>
      </left>
      <right style="thin">
        <color indexed="64"/>
      </right>
      <top style="thin">
        <color rgb="FFD9D9D9"/>
      </top>
      <bottom style="thin">
        <color indexed="64"/>
      </bottom>
      <diagonal/>
    </border>
    <border>
      <left style="thin">
        <color indexed="64"/>
      </left>
      <right/>
      <top/>
      <bottom style="thin">
        <color rgb="FFBFBFBF"/>
      </bottom>
      <diagonal/>
    </border>
    <border>
      <left style="thin">
        <color indexed="64"/>
      </left>
      <right style="thin">
        <color indexed="64"/>
      </right>
      <top style="thin">
        <color rgb="FFBFBFBF"/>
      </top>
      <bottom/>
      <diagonal/>
    </border>
    <border diagonalUp="1" diagonalDown="1">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auto="1"/>
      </right>
      <top style="thin">
        <color indexed="64"/>
      </top>
      <bottom style="thin">
        <color theme="0" tint="-0.24994659260841701"/>
      </bottom>
      <diagonal/>
    </border>
    <border>
      <left style="thin">
        <color indexed="64"/>
      </left>
      <right style="thin">
        <color auto="1"/>
      </right>
      <top style="thin">
        <color indexed="64"/>
      </top>
      <bottom style="thin">
        <color theme="0" tint="-0.14996795556505021"/>
      </bottom>
      <diagonal/>
    </border>
    <border>
      <left/>
      <right style="thin">
        <color indexed="64"/>
      </right>
      <top style="thin">
        <color indexed="64"/>
      </top>
      <bottom/>
      <diagonal/>
    </border>
    <border>
      <left style="thin">
        <color indexed="64"/>
      </left>
      <right style="thin">
        <color auto="1"/>
      </right>
      <top style="thin">
        <color theme="0" tint="-0.24994659260841701"/>
      </top>
      <bottom style="thin">
        <color theme="0" tint="-0.24994659260841701"/>
      </bottom>
      <diagonal/>
    </border>
    <border>
      <left style="thin">
        <color indexed="64"/>
      </left>
      <right style="thin">
        <color auto="1"/>
      </right>
      <top/>
      <bottom style="thin">
        <color theme="0" tint="-0.24994659260841701"/>
      </bottom>
      <diagonal/>
    </border>
    <border>
      <left style="thin">
        <color indexed="64"/>
      </left>
      <right style="thin">
        <color auto="1"/>
      </right>
      <top/>
      <bottom style="thin">
        <color theme="0" tint="-0.14996795556505021"/>
      </bottom>
      <diagonal/>
    </border>
    <border>
      <left/>
      <right style="thin">
        <color indexed="64"/>
      </right>
      <top/>
      <bottom/>
      <diagonal/>
    </border>
    <border>
      <left style="thin">
        <color indexed="64"/>
      </left>
      <right style="thin">
        <color auto="1"/>
      </right>
      <top style="thin">
        <color theme="0" tint="-0.24994659260841701"/>
      </top>
      <bottom style="thin">
        <color auto="1"/>
      </bottom>
      <diagonal/>
    </border>
    <border>
      <left/>
      <right style="thin">
        <color indexed="64"/>
      </right>
      <top/>
      <bottom style="thin">
        <color indexed="64"/>
      </bottom>
      <diagonal/>
    </border>
  </borders>
  <cellStyleXfs count="25">
    <xf numFmtId="0" fontId="0" fillId="0" borderId="0">
      <alignment vertical="center"/>
    </xf>
    <xf numFmtId="0" fontId="28" fillId="0" borderId="0">
      <alignment vertical="center"/>
    </xf>
    <xf numFmtId="0" fontId="1" fillId="0" borderId="0">
      <alignment vertical="center"/>
    </xf>
    <xf numFmtId="0" fontId="28" fillId="0" borderId="0">
      <alignment vertical="center"/>
    </xf>
    <xf numFmtId="0" fontId="2" fillId="0" borderId="0">
      <alignment vertical="top"/>
      <protection locked="0"/>
    </xf>
    <xf numFmtId="0" fontId="3" fillId="0" borderId="0">
      <alignment vertical="center"/>
    </xf>
    <xf numFmtId="0" fontId="28" fillId="0" borderId="0">
      <alignment vertical="center"/>
    </xf>
    <xf numFmtId="0" fontId="4" fillId="0" borderId="0"/>
    <xf numFmtId="0" fontId="4" fillId="0" borderId="0"/>
    <xf numFmtId="0" fontId="4" fillId="0" borderId="0">
      <alignment vertical="center"/>
    </xf>
    <xf numFmtId="0" fontId="5" fillId="0" borderId="0">
      <alignment vertical="center"/>
    </xf>
    <xf numFmtId="0" fontId="4" fillId="0" borderId="0"/>
    <xf numFmtId="0" fontId="4" fillId="0" borderId="0"/>
    <xf numFmtId="176" fontId="28" fillId="0" borderId="0">
      <alignment vertical="center"/>
    </xf>
    <xf numFmtId="0" fontId="6" fillId="0" borderId="0">
      <alignment vertical="center"/>
    </xf>
    <xf numFmtId="0" fontId="28" fillId="0" borderId="0">
      <alignment vertical="center"/>
    </xf>
    <xf numFmtId="0" fontId="7" fillId="0" borderId="0"/>
    <xf numFmtId="0" fontId="8" fillId="0" borderId="0">
      <alignment vertical="top"/>
      <protection locked="0"/>
    </xf>
    <xf numFmtId="0" fontId="7" fillId="0" borderId="0"/>
    <xf numFmtId="0" fontId="7" fillId="0" borderId="0"/>
    <xf numFmtId="0" fontId="28" fillId="0" borderId="0">
      <alignment vertical="center"/>
    </xf>
    <xf numFmtId="0" fontId="28" fillId="0" borderId="0">
      <alignment vertical="center"/>
    </xf>
    <xf numFmtId="41" fontId="28" fillId="0" borderId="0">
      <alignment vertical="center"/>
    </xf>
    <xf numFmtId="0" fontId="7" fillId="0" borderId="0"/>
    <xf numFmtId="0" fontId="6" fillId="0" borderId="0">
      <alignment vertical="center"/>
    </xf>
  </cellStyleXfs>
  <cellXfs count="400">
    <xf numFmtId="0" fontId="0" fillId="0" borderId="0" xfId="0" applyNumberFormat="1">
      <alignment vertical="center"/>
    </xf>
    <xf numFmtId="0" fontId="0" fillId="2" borderId="0" xfId="1" applyNumberFormat="1" applyFont="1" applyFill="1">
      <alignment vertical="center"/>
    </xf>
    <xf numFmtId="0" fontId="0" fillId="0" borderId="0" xfId="1" applyNumberFormat="1" applyFont="1">
      <alignment vertical="center"/>
    </xf>
    <xf numFmtId="0" fontId="9" fillId="0" borderId="0" xfId="3" applyNumberFormat="1" applyFont="1" applyFill="1">
      <alignment vertical="center"/>
    </xf>
    <xf numFmtId="0" fontId="9" fillId="0" borderId="0" xfId="3" applyNumberFormat="1" applyFont="1">
      <alignment vertical="center"/>
    </xf>
    <xf numFmtId="0" fontId="9" fillId="0" borderId="0" xfId="3" applyNumberFormat="1" applyFont="1" applyFill="1" applyBorder="1">
      <alignment vertical="center"/>
    </xf>
    <xf numFmtId="0" fontId="9" fillId="0" borderId="0" xfId="3" applyNumberFormat="1" applyFont="1" applyAlignment="1">
      <alignment vertical="center"/>
    </xf>
    <xf numFmtId="0" fontId="9" fillId="0" borderId="0" xfId="3" applyNumberFormat="1" applyFont="1" applyAlignment="1">
      <alignment horizontal="center" vertical="center"/>
    </xf>
    <xf numFmtId="0" fontId="9" fillId="0" borderId="0" xfId="3" applyNumberFormat="1" applyFont="1" applyAlignment="1">
      <alignment vertical="center" wrapText="1"/>
    </xf>
    <xf numFmtId="0" fontId="9" fillId="0" borderId="0" xfId="3" applyNumberFormat="1" applyFont="1" applyFill="1" applyAlignment="1">
      <alignment vertical="center"/>
    </xf>
    <xf numFmtId="0" fontId="9" fillId="0" borderId="1" xfId="3" applyNumberFormat="1" applyFont="1" applyFill="1" applyBorder="1" applyAlignment="1">
      <alignment horizontal="left" vertical="center" wrapText="1"/>
    </xf>
    <xf numFmtId="0" fontId="9" fillId="0" borderId="1" xfId="3" applyNumberFormat="1" applyFont="1" applyFill="1" applyBorder="1" applyAlignment="1">
      <alignment horizontal="center" vertical="center" wrapText="1"/>
    </xf>
    <xf numFmtId="20" fontId="9" fillId="0" borderId="1" xfId="3" applyNumberFormat="1" applyFont="1" applyFill="1" applyBorder="1" applyAlignment="1">
      <alignment horizontal="center" vertical="center" wrapText="1"/>
    </xf>
    <xf numFmtId="0" fontId="9" fillId="0" borderId="1" xfId="3" applyNumberFormat="1" applyFont="1" applyFill="1" applyBorder="1" applyAlignment="1">
      <alignment vertical="center" wrapText="1"/>
    </xf>
    <xf numFmtId="0" fontId="9" fillId="0" borderId="1" xfId="3" applyNumberFormat="1" applyFont="1" applyFill="1" applyBorder="1" applyAlignment="1">
      <alignment horizontal="center" vertical="center"/>
    </xf>
    <xf numFmtId="0" fontId="9" fillId="0" borderId="0" xfId="3" applyNumberFormat="1" applyFont="1" applyFill="1" applyAlignment="1">
      <alignment vertical="center" wrapText="1"/>
    </xf>
    <xf numFmtId="0" fontId="10" fillId="3" borderId="3" xfId="3" applyNumberFormat="1" applyFont="1" applyFill="1" applyBorder="1" applyAlignment="1">
      <alignment horizontal="center" vertical="center" wrapText="1"/>
    </xf>
    <xf numFmtId="0" fontId="9" fillId="0" borderId="5" xfId="3" applyNumberFormat="1" applyFont="1" applyFill="1" applyBorder="1" applyAlignment="1">
      <alignment horizontal="right" vertical="center"/>
    </xf>
    <xf numFmtId="0" fontId="9" fillId="0" borderId="5" xfId="3" applyNumberFormat="1" applyFont="1" applyFill="1" applyBorder="1" applyAlignment="1">
      <alignment horizontal="center" vertical="center"/>
    </xf>
    <xf numFmtId="0" fontId="9" fillId="0" borderId="5" xfId="3" applyNumberFormat="1" applyFont="1" applyBorder="1" applyAlignment="1">
      <alignment horizontal="left" vertical="center"/>
    </xf>
    <xf numFmtId="0" fontId="9" fillId="0" borderId="0" xfId="3" applyNumberFormat="1" applyFont="1" applyFill="1">
      <alignment vertical="center"/>
    </xf>
    <xf numFmtId="0" fontId="9" fillId="0" borderId="6" xfId="3" applyNumberFormat="1" applyFont="1" applyFill="1" applyBorder="1" applyAlignment="1">
      <alignment horizontal="center" vertical="center" wrapText="1"/>
    </xf>
    <xf numFmtId="0" fontId="11" fillId="0" borderId="1" xfId="4" applyNumberFormat="1" applyFont="1" applyFill="1" applyBorder="1" applyAlignment="1" applyProtection="1">
      <alignment vertical="center"/>
    </xf>
    <xf numFmtId="0" fontId="10" fillId="4" borderId="8" xfId="3" applyNumberFormat="1" applyFont="1" applyFill="1" applyBorder="1" applyAlignment="1">
      <alignment horizontal="center" vertical="center"/>
    </xf>
    <xf numFmtId="0" fontId="10" fillId="3" borderId="3" xfId="3" applyNumberFormat="1" applyFont="1" applyFill="1" applyBorder="1" applyAlignment="1">
      <alignment horizontal="center" vertical="center" wrapText="1"/>
    </xf>
    <xf numFmtId="0" fontId="9" fillId="0" borderId="9" xfId="3" applyNumberFormat="1" applyFont="1" applyFill="1" applyBorder="1" applyAlignment="1">
      <alignment horizontal="center" vertical="center"/>
    </xf>
    <xf numFmtId="0" fontId="9" fillId="0" borderId="2" xfId="4" applyNumberFormat="1" applyFont="1" applyFill="1" applyBorder="1" applyAlignment="1" applyProtection="1">
      <alignment vertical="center" wrapText="1"/>
    </xf>
    <xf numFmtId="0" fontId="9" fillId="0" borderId="1" xfId="0" applyNumberFormat="1" applyFont="1" applyBorder="1" applyAlignment="1">
      <alignment horizontal="center" vertical="top" wrapText="1"/>
    </xf>
    <xf numFmtId="0" fontId="9" fillId="0" borderId="0" xfId="15" applyNumberFormat="1" applyFont="1" applyAlignment="1">
      <alignment horizontal="center" vertical="center"/>
    </xf>
    <xf numFmtId="0" fontId="9" fillId="0" borderId="0" xfId="15" applyNumberFormat="1" applyFont="1">
      <alignment vertical="center"/>
    </xf>
    <xf numFmtId="0" fontId="12" fillId="5" borderId="1" xfId="15" applyNumberFormat="1" applyFont="1" applyFill="1" applyBorder="1" applyAlignment="1">
      <alignment horizontal="center" vertical="center" wrapText="1"/>
    </xf>
    <xf numFmtId="0" fontId="9" fillId="0" borderId="0" xfId="15" applyNumberFormat="1" applyFont="1" applyFill="1">
      <alignment vertical="center"/>
    </xf>
    <xf numFmtId="0" fontId="9" fillId="0" borderId="5" xfId="3" applyNumberFormat="1" applyFont="1" applyFill="1" applyBorder="1" applyAlignment="1">
      <alignment horizontal="left" vertical="center"/>
    </xf>
    <xf numFmtId="0" fontId="9" fillId="0" borderId="0" xfId="3" applyNumberFormat="1" applyFont="1" applyFill="1" applyAlignment="1">
      <alignment horizontal="left" vertical="center"/>
    </xf>
    <xf numFmtId="49" fontId="9" fillId="0" borderId="5" xfId="3" applyNumberFormat="1" applyFont="1" applyFill="1" applyBorder="1" applyAlignment="1">
      <alignment horizontal="left" vertical="top" wrapText="1"/>
    </xf>
    <xf numFmtId="0" fontId="9" fillId="0" borderId="0" xfId="3" applyNumberFormat="1" applyFont="1" applyFill="1" applyAlignment="1">
      <alignment horizontal="center" vertical="center"/>
    </xf>
    <xf numFmtId="0" fontId="9" fillId="0" borderId="2" xfId="3" applyNumberFormat="1" applyFont="1" applyFill="1" applyBorder="1" applyAlignment="1">
      <alignment vertical="center" wrapText="1"/>
    </xf>
    <xf numFmtId="0" fontId="13" fillId="0" borderId="0" xfId="16" applyNumberFormat="1" applyFont="1" applyAlignment="1">
      <alignment vertical="center"/>
    </xf>
    <xf numFmtId="0" fontId="9" fillId="0" borderId="12" xfId="3" applyNumberFormat="1" applyFont="1" applyFill="1" applyBorder="1" applyAlignment="1">
      <alignment horizontal="center" vertical="center"/>
    </xf>
    <xf numFmtId="0" fontId="9" fillId="0" borderId="13" xfId="3" applyNumberFormat="1" applyFont="1" applyFill="1" applyBorder="1" applyAlignment="1">
      <alignment horizontal="center" vertical="center"/>
    </xf>
    <xf numFmtId="0" fontId="9" fillId="0" borderId="10" xfId="3" applyNumberFormat="1" applyFont="1" applyFill="1" applyBorder="1" applyAlignment="1">
      <alignment horizontal="center" vertical="center" wrapText="1"/>
    </xf>
    <xf numFmtId="0" fontId="11" fillId="0" borderId="12" xfId="4" applyNumberFormat="1" applyFont="1" applyFill="1" applyBorder="1" applyAlignment="1" applyProtection="1">
      <alignment vertical="center"/>
    </xf>
    <xf numFmtId="0" fontId="9" fillId="0" borderId="14" xfId="3" applyNumberFormat="1" applyFont="1" applyFill="1" applyBorder="1" applyAlignment="1">
      <alignment horizontal="center" vertical="center"/>
    </xf>
    <xf numFmtId="0" fontId="9" fillId="0" borderId="7" xfId="3" applyNumberFormat="1" applyFont="1" applyFill="1" applyBorder="1" applyAlignment="1">
      <alignment horizontal="left" vertical="center" wrapText="1"/>
    </xf>
    <xf numFmtId="0" fontId="9" fillId="0" borderId="15" xfId="3" applyNumberFormat="1" applyFont="1" applyFill="1" applyBorder="1" applyAlignment="1">
      <alignment horizontal="left" vertical="center" wrapText="1"/>
    </xf>
    <xf numFmtId="0" fontId="9" fillId="0" borderId="16" xfId="3" applyNumberFormat="1" applyFont="1" applyFill="1" applyBorder="1" applyAlignment="1">
      <alignment horizontal="left" vertical="center" wrapText="1"/>
    </xf>
    <xf numFmtId="0" fontId="9" fillId="0" borderId="12" xfId="3" applyNumberFormat="1" applyFont="1" applyFill="1" applyBorder="1" applyAlignment="1">
      <alignment horizontal="center" vertical="center" wrapText="1"/>
    </xf>
    <xf numFmtId="0" fontId="9" fillId="0" borderId="17" xfId="3" applyNumberFormat="1" applyFont="1" applyFill="1" applyBorder="1" applyAlignment="1">
      <alignment horizontal="left" vertical="center" wrapText="1"/>
    </xf>
    <xf numFmtId="0" fontId="9" fillId="0" borderId="18" xfId="3" applyNumberFormat="1" applyFont="1" applyFill="1" applyBorder="1" applyAlignment="1">
      <alignment horizontal="left" vertical="center" wrapText="1"/>
    </xf>
    <xf numFmtId="0" fontId="9" fillId="0" borderId="0" xfId="3" applyNumberFormat="1" applyFont="1" applyFill="1" applyBorder="1" applyAlignment="1">
      <alignment horizontal="center" vertical="center"/>
    </xf>
    <xf numFmtId="0" fontId="9" fillId="0" borderId="5" xfId="3" applyNumberFormat="1" applyFont="1" applyFill="1" applyBorder="1" applyAlignment="1">
      <alignment horizontal="center" vertical="center" wrapText="1"/>
    </xf>
    <xf numFmtId="0" fontId="9" fillId="0" borderId="19" xfId="3" applyNumberFormat="1" applyFont="1" applyFill="1" applyBorder="1" applyAlignment="1">
      <alignment horizontal="center" vertical="center"/>
    </xf>
    <xf numFmtId="0" fontId="9" fillId="0" borderId="20" xfId="3" applyNumberFormat="1" applyFont="1" applyFill="1" applyBorder="1" applyAlignment="1">
      <alignment horizontal="center" vertical="center"/>
    </xf>
    <xf numFmtId="0" fontId="9" fillId="0" borderId="21" xfId="3" applyNumberFormat="1" applyFont="1" applyFill="1" applyBorder="1" applyAlignment="1">
      <alignment horizontal="center" vertical="center"/>
    </xf>
    <xf numFmtId="0" fontId="14" fillId="0" borderId="0" xfId="16" applyNumberFormat="1" applyFont="1" applyAlignment="1">
      <alignment horizontal="center" vertical="center"/>
    </xf>
    <xf numFmtId="0" fontId="14" fillId="0" borderId="0" xfId="16" applyNumberFormat="1" applyFont="1" applyAlignment="1">
      <alignment vertical="center"/>
    </xf>
    <xf numFmtId="0" fontId="14" fillId="0" borderId="0" xfId="16" applyNumberFormat="1" applyFont="1" applyAlignment="1">
      <alignment vertical="center" wrapText="1"/>
    </xf>
    <xf numFmtId="0" fontId="15" fillId="6" borderId="1" xfId="16" applyNumberFormat="1" applyFont="1" applyFill="1" applyBorder="1" applyAlignment="1">
      <alignment horizontal="center" vertical="center" wrapText="1"/>
    </xf>
    <xf numFmtId="0" fontId="3" fillId="0" borderId="0" xfId="16" applyNumberFormat="1" applyFont="1" applyAlignment="1">
      <alignment horizontal="center" vertical="center"/>
    </xf>
    <xf numFmtId="0" fontId="14" fillId="0" borderId="0" xfId="16" applyNumberFormat="1" applyFont="1" applyFill="1" applyAlignment="1">
      <alignment vertical="center"/>
    </xf>
    <xf numFmtId="0" fontId="0" fillId="2" borderId="22" xfId="1" applyNumberFormat="1" applyFont="1" applyFill="1" applyBorder="1">
      <alignment vertical="center"/>
    </xf>
    <xf numFmtId="0" fontId="0" fillId="2" borderId="23" xfId="1" applyNumberFormat="1" applyFont="1" applyFill="1" applyBorder="1">
      <alignment vertical="center"/>
    </xf>
    <xf numFmtId="0" fontId="0" fillId="2" borderId="24" xfId="1" applyNumberFormat="1" applyFont="1" applyFill="1" applyBorder="1">
      <alignment vertical="center"/>
    </xf>
    <xf numFmtId="0" fontId="0" fillId="2" borderId="25" xfId="1" applyNumberFormat="1" applyFont="1" applyFill="1" applyBorder="1">
      <alignment vertical="center"/>
    </xf>
    <xf numFmtId="49" fontId="9" fillId="0" borderId="26" xfId="15" applyNumberFormat="1" applyFont="1" applyFill="1" applyBorder="1" applyAlignment="1">
      <alignment horizontal="center" vertical="center"/>
    </xf>
    <xf numFmtId="14" fontId="9" fillId="0" borderId="1" xfId="15" applyNumberFormat="1" applyFont="1" applyFill="1" applyBorder="1" applyAlignment="1">
      <alignment horizontal="center" vertical="center"/>
    </xf>
    <xf numFmtId="0" fontId="9" fillId="0" borderId="1" xfId="15" applyNumberFormat="1" applyFont="1" applyFill="1" applyBorder="1" applyAlignment="1">
      <alignment vertical="center" wrapText="1"/>
    </xf>
    <xf numFmtId="0" fontId="9" fillId="0" borderId="2" xfId="15" applyNumberFormat="1" applyFont="1" applyFill="1" applyBorder="1" applyAlignment="1">
      <alignment horizontal="center" vertical="center"/>
    </xf>
    <xf numFmtId="0" fontId="9" fillId="0" borderId="2" xfId="15" applyNumberFormat="1" applyFont="1" applyFill="1" applyBorder="1" applyAlignment="1">
      <alignment horizontal="left" vertical="center"/>
    </xf>
    <xf numFmtId="0" fontId="14" fillId="0" borderId="1" xfId="16" applyNumberFormat="1" applyFont="1" applyFill="1" applyBorder="1" applyAlignment="1">
      <alignment horizontal="center" vertical="center" wrapText="1"/>
    </xf>
    <xf numFmtId="0" fontId="14" fillId="0" borderId="1" xfId="16" applyNumberFormat="1" applyFont="1" applyFill="1" applyBorder="1" applyAlignment="1">
      <alignment horizontal="center" vertical="center"/>
    </xf>
    <xf numFmtId="0" fontId="14" fillId="0" borderId="1" xfId="16" applyNumberFormat="1" applyFont="1" applyFill="1" applyBorder="1" applyAlignment="1">
      <alignment horizontal="left" vertical="center" wrapText="1"/>
    </xf>
    <xf numFmtId="0" fontId="14" fillId="0" borderId="1" xfId="16" applyNumberFormat="1" applyFont="1" applyFill="1" applyBorder="1" applyAlignment="1">
      <alignment horizontal="left" vertical="center" wrapText="1"/>
    </xf>
    <xf numFmtId="0" fontId="14" fillId="0" borderId="1" xfId="16" applyNumberFormat="1" applyFont="1" applyFill="1" applyBorder="1" applyAlignment="1">
      <alignment vertical="center" wrapText="1"/>
    </xf>
    <xf numFmtId="0" fontId="9" fillId="0" borderId="2" xfId="15" applyNumberFormat="1" applyFont="1" applyFill="1" applyBorder="1" applyAlignment="1">
      <alignment vertical="center" wrapText="1"/>
    </xf>
    <xf numFmtId="0" fontId="9" fillId="7" borderId="10" xfId="3" applyNumberFormat="1" applyFont="1" applyFill="1" applyBorder="1" applyAlignment="1">
      <alignment horizontal="center" vertical="center" wrapText="1"/>
    </xf>
    <xf numFmtId="0" fontId="9" fillId="7" borderId="11" xfId="3" applyNumberFormat="1" applyFont="1" applyFill="1" applyBorder="1" applyAlignment="1" applyProtection="1">
      <alignment horizontal="center" vertical="center" wrapText="1"/>
    </xf>
    <xf numFmtId="0" fontId="9" fillId="7" borderId="6" xfId="3" applyNumberFormat="1" applyFont="1" applyFill="1" applyBorder="1" applyAlignment="1">
      <alignment horizontal="center" vertical="center" wrapText="1"/>
    </xf>
    <xf numFmtId="0" fontId="9" fillId="0" borderId="1" xfId="15" applyNumberFormat="1" applyFont="1" applyFill="1" applyBorder="1" applyAlignment="1" applyProtection="1">
      <alignment horizontal="center" vertical="center"/>
    </xf>
    <xf numFmtId="0" fontId="9" fillId="0" borderId="1" xfId="15" applyNumberFormat="1" applyFont="1" applyFill="1" applyBorder="1" applyAlignment="1" applyProtection="1">
      <alignment vertical="center" wrapText="1"/>
    </xf>
    <xf numFmtId="0" fontId="9" fillId="0" borderId="1" xfId="15" applyNumberFormat="1" applyFont="1" applyFill="1" applyBorder="1" applyAlignment="1" applyProtection="1">
      <alignment vertical="center"/>
    </xf>
    <xf numFmtId="0" fontId="9" fillId="0" borderId="12" xfId="3" applyNumberFormat="1" applyFont="1" applyFill="1" applyBorder="1" applyAlignment="1">
      <alignment vertical="center" wrapText="1"/>
    </xf>
    <xf numFmtId="20" fontId="9" fillId="0" borderId="12" xfId="3" applyNumberFormat="1" applyFont="1" applyFill="1" applyBorder="1" applyAlignment="1">
      <alignment horizontal="center" vertical="center" wrapText="1"/>
    </xf>
    <xf numFmtId="0" fontId="9" fillId="0" borderId="21" xfId="3" applyNumberFormat="1" applyFont="1" applyFill="1" applyBorder="1" applyAlignment="1">
      <alignment vertical="center" wrapText="1"/>
    </xf>
    <xf numFmtId="0" fontId="9" fillId="0" borderId="28" xfId="3" applyNumberFormat="1" applyFont="1" applyFill="1" applyBorder="1" applyAlignment="1">
      <alignment horizontal="center" vertical="center" wrapText="1"/>
    </xf>
    <xf numFmtId="0" fontId="9" fillId="0" borderId="28" xfId="3" applyNumberFormat="1" applyFont="1" applyFill="1" applyBorder="1" applyAlignment="1">
      <alignment vertical="center" wrapText="1"/>
    </xf>
    <xf numFmtId="20" fontId="9" fillId="0" borderId="28" xfId="3" applyNumberFormat="1" applyFont="1" applyFill="1" applyBorder="1" applyAlignment="1">
      <alignment horizontal="center" vertical="center" wrapText="1"/>
    </xf>
    <xf numFmtId="0" fontId="9" fillId="0" borderId="29" xfId="3" applyNumberFormat="1" applyFont="1" applyFill="1" applyBorder="1" applyAlignment="1">
      <alignment vertical="center" wrapText="1"/>
    </xf>
    <xf numFmtId="0" fontId="9" fillId="0" borderId="4" xfId="3" applyNumberFormat="1" applyFont="1" applyFill="1" applyBorder="1" applyAlignment="1">
      <alignment vertical="center" wrapText="1"/>
    </xf>
    <xf numFmtId="0" fontId="9" fillId="0" borderId="1" xfId="3" applyNumberFormat="1" applyFont="1" applyFill="1" applyBorder="1" applyAlignment="1">
      <alignment horizontal="center" vertical="center" wrapText="1"/>
    </xf>
    <xf numFmtId="0" fontId="9" fillId="0" borderId="1" xfId="3" applyNumberFormat="1" applyFont="1" applyFill="1" applyBorder="1" applyAlignment="1">
      <alignment vertical="center" wrapText="1"/>
    </xf>
    <xf numFmtId="20" fontId="9" fillId="0" borderId="1" xfId="3" applyNumberFormat="1" applyFont="1" applyFill="1" applyBorder="1" applyAlignment="1">
      <alignment horizontal="center" vertical="center" wrapText="1"/>
    </xf>
    <xf numFmtId="0" fontId="9" fillId="0" borderId="2" xfId="3" applyNumberFormat="1" applyFont="1" applyFill="1" applyBorder="1" applyAlignment="1">
      <alignment vertical="center" wrapText="1"/>
    </xf>
    <xf numFmtId="0" fontId="9" fillId="0" borderId="28" xfId="3" applyNumberFormat="1" applyFont="1" applyFill="1" applyBorder="1" applyAlignment="1">
      <alignment horizontal="center" vertical="center" wrapText="1"/>
    </xf>
    <xf numFmtId="0" fontId="9" fillId="0" borderId="28" xfId="3" applyNumberFormat="1" applyFont="1" applyFill="1" applyBorder="1" applyAlignment="1">
      <alignment vertical="center" wrapText="1"/>
    </xf>
    <xf numFmtId="0" fontId="9" fillId="0" borderId="5" xfId="3" applyNumberFormat="1" applyFont="1" applyFill="1" applyBorder="1" applyAlignment="1">
      <alignment vertical="center" wrapText="1"/>
    </xf>
    <xf numFmtId="0" fontId="9" fillId="0" borderId="10" xfId="3" quotePrefix="1" applyNumberFormat="1" applyFont="1" applyFill="1" applyBorder="1" applyAlignment="1">
      <alignment horizontal="left" vertical="center" wrapText="1"/>
    </xf>
    <xf numFmtId="0" fontId="14" fillId="0" borderId="1" xfId="16" applyNumberFormat="1" applyFont="1" applyFill="1" applyBorder="1" applyAlignment="1">
      <alignment horizontal="center" vertical="center"/>
    </xf>
    <xf numFmtId="0" fontId="9" fillId="0" borderId="1" xfId="15" applyNumberFormat="1" applyFont="1" applyFill="1" applyBorder="1" applyAlignment="1" applyProtection="1">
      <alignment horizontal="center" vertical="center" wrapText="1"/>
    </xf>
    <xf numFmtId="0" fontId="16" fillId="5" borderId="1" xfId="21" applyNumberFormat="1" applyFont="1" applyFill="1" applyBorder="1" applyAlignment="1">
      <alignment horizontal="center" vertical="center" wrapText="1"/>
    </xf>
    <xf numFmtId="0" fontId="17" fillId="0" borderId="1" xfId="21" applyNumberFormat="1" applyFont="1" applyFill="1" applyBorder="1" applyAlignment="1">
      <alignment vertical="center" wrapText="1"/>
    </xf>
    <xf numFmtId="0" fontId="17" fillId="0" borderId="2" xfId="21" applyNumberFormat="1" applyFont="1" applyFill="1" applyBorder="1" applyAlignment="1">
      <alignment horizontal="center" vertical="center"/>
    </xf>
    <xf numFmtId="0" fontId="17" fillId="0" borderId="1" xfId="21" applyNumberFormat="1" applyFont="1" applyFill="1" applyBorder="1" applyAlignment="1">
      <alignment horizontal="center" vertical="center"/>
    </xf>
    <xf numFmtId="0" fontId="18" fillId="8" borderId="1" xfId="0" applyNumberFormat="1" applyFont="1" applyFill="1" applyBorder="1" applyAlignment="1">
      <alignment horizontal="center" vertical="top" wrapText="1"/>
    </xf>
    <xf numFmtId="41" fontId="19" fillId="3" borderId="1" xfId="22" applyNumberFormat="1" applyFont="1" applyFill="1" applyBorder="1" applyAlignment="1">
      <alignment horizontal="center" vertical="center"/>
    </xf>
    <xf numFmtId="0" fontId="19" fillId="8" borderId="1" xfId="22" applyNumberFormat="1" applyFont="1" applyFill="1" applyBorder="1" applyAlignment="1">
      <alignment horizontal="center" vertical="center" wrapText="1"/>
    </xf>
    <xf numFmtId="41" fontId="19" fillId="3" borderId="1" xfId="22" applyNumberFormat="1" applyFont="1" applyFill="1" applyBorder="1" applyAlignment="1">
      <alignment horizontal="center" vertical="center" wrapText="1"/>
    </xf>
    <xf numFmtId="0" fontId="9" fillId="0" borderId="6" xfId="3" applyNumberFormat="1" applyFont="1" applyFill="1" applyBorder="1" applyAlignment="1">
      <alignment horizontal="left" vertical="center" wrapText="1"/>
    </xf>
    <xf numFmtId="0" fontId="9" fillId="0" borderId="11" xfId="3" applyNumberFormat="1" applyFont="1" applyFill="1" applyBorder="1" applyAlignment="1">
      <alignment horizontal="left" vertical="center" wrapText="1"/>
    </xf>
    <xf numFmtId="0" fontId="17" fillId="0" borderId="30" xfId="24" applyNumberFormat="1" applyFont="1" applyBorder="1" applyAlignment="1">
      <alignment horizontal="center" vertical="center"/>
    </xf>
    <xf numFmtId="0" fontId="9" fillId="0" borderId="8" xfId="3" applyNumberFormat="1" applyFont="1" applyFill="1" applyBorder="1" applyAlignment="1">
      <alignment horizontal="left" vertical="center" wrapText="1"/>
    </xf>
    <xf numFmtId="0" fontId="9" fillId="0" borderId="10" xfId="3" applyNumberFormat="1" applyFont="1" applyFill="1" applyBorder="1" applyAlignment="1">
      <alignment horizontal="left" vertical="center" wrapText="1"/>
    </xf>
    <xf numFmtId="0" fontId="9" fillId="0" borderId="12" xfId="3" applyNumberFormat="1" applyFont="1" applyFill="1" applyBorder="1" applyAlignment="1">
      <alignment horizontal="left" vertical="center" wrapText="1"/>
    </xf>
    <xf numFmtId="0" fontId="9" fillId="0" borderId="5" xfId="3" applyNumberFormat="1" applyFont="1" applyFill="1" applyBorder="1" applyAlignment="1">
      <alignment horizontal="left" vertical="center" wrapText="1"/>
    </xf>
    <xf numFmtId="0" fontId="9" fillId="0" borderId="11" xfId="3" applyNumberFormat="1" applyFont="1" applyFill="1" applyBorder="1" applyAlignment="1">
      <alignment horizontal="center" vertical="center" wrapText="1"/>
    </xf>
    <xf numFmtId="0" fontId="9" fillId="0" borderId="12" xfId="3" applyNumberFormat="1" applyFont="1" applyFill="1" applyBorder="1" applyAlignment="1">
      <alignment horizontal="center" vertical="center" wrapText="1"/>
    </xf>
    <xf numFmtId="0" fontId="9" fillId="0" borderId="11" xfId="3" applyNumberFormat="1" applyFont="1" applyFill="1" applyBorder="1" applyAlignment="1" applyProtection="1">
      <alignment horizontal="left" vertical="center" wrapText="1"/>
    </xf>
    <xf numFmtId="0" fontId="9" fillId="7" borderId="10" xfId="3" applyNumberFormat="1" applyFont="1" applyFill="1" applyBorder="1" applyAlignment="1">
      <alignment horizontal="left" vertical="center" wrapText="1"/>
    </xf>
    <xf numFmtId="0" fontId="9" fillId="0" borderId="15" xfId="3" applyNumberFormat="1" applyFont="1" applyFill="1" applyBorder="1" applyAlignment="1">
      <alignment horizontal="center" vertical="center" wrapText="1"/>
    </xf>
    <xf numFmtId="0" fontId="9" fillId="0" borderId="16" xfId="3" applyNumberFormat="1" applyFont="1" applyFill="1" applyBorder="1" applyAlignment="1">
      <alignment horizontal="center" vertical="center" wrapText="1"/>
    </xf>
    <xf numFmtId="0" fontId="17" fillId="0" borderId="31" xfId="24" applyNumberFormat="1" applyFont="1" applyBorder="1" applyAlignment="1">
      <alignment horizontal="center" vertical="center"/>
    </xf>
    <xf numFmtId="0" fontId="17" fillId="0" borderId="32" xfId="24" applyNumberFormat="1" applyFont="1" applyBorder="1" applyAlignment="1">
      <alignment horizontal="center" vertical="center"/>
    </xf>
    <xf numFmtId="0" fontId="17" fillId="7" borderId="30" xfId="24" applyNumberFormat="1" applyFont="1" applyFill="1" applyBorder="1" applyAlignment="1">
      <alignment horizontal="center" vertical="center"/>
    </xf>
    <xf numFmtId="0" fontId="9" fillId="0" borderId="33" xfId="3" applyNumberFormat="1" applyFont="1" applyFill="1" applyBorder="1" applyAlignment="1">
      <alignment horizontal="center" vertical="center"/>
    </xf>
    <xf numFmtId="0" fontId="9" fillId="0" borderId="6" xfId="3" quotePrefix="1" applyNumberFormat="1" applyFont="1" applyFill="1" applyBorder="1" applyAlignment="1">
      <alignment horizontal="left" vertical="center" wrapText="1"/>
    </xf>
    <xf numFmtId="0" fontId="9" fillId="0" borderId="27" xfId="3" applyNumberFormat="1" applyFont="1" applyFill="1" applyBorder="1" applyAlignment="1">
      <alignment horizontal="center" vertical="center"/>
    </xf>
    <xf numFmtId="0" fontId="20" fillId="8" borderId="1" xfId="0" applyNumberFormat="1" applyFont="1" applyFill="1" applyBorder="1" applyAlignment="1">
      <alignment horizontal="center" vertical="top" wrapText="1"/>
    </xf>
    <xf numFmtId="0" fontId="18" fillId="8" borderId="1" xfId="0" applyNumberFormat="1" applyFont="1" applyFill="1" applyBorder="1" applyAlignment="1">
      <alignment horizontal="center" vertical="top" wrapText="1"/>
    </xf>
    <xf numFmtId="0" fontId="21" fillId="6" borderId="1" xfId="16" applyNumberFormat="1" applyFont="1" applyFill="1" applyBorder="1" applyAlignment="1">
      <alignment horizontal="center" vertical="center" wrapText="1"/>
    </xf>
    <xf numFmtId="0" fontId="15" fillId="6" borderId="1" xfId="16" applyNumberFormat="1" applyFont="1" applyFill="1" applyBorder="1" applyAlignment="1">
      <alignment horizontal="center" vertical="center" wrapText="1"/>
    </xf>
    <xf numFmtId="0" fontId="14" fillId="7" borderId="1" xfId="16" applyNumberFormat="1" applyFont="1" applyFill="1" applyBorder="1" applyAlignment="1">
      <alignment horizontal="center" vertical="center" wrapText="1"/>
    </xf>
    <xf numFmtId="0" fontId="9" fillId="9" borderId="0" xfId="3" applyNumberFormat="1" applyFont="1" applyFill="1" applyBorder="1" applyAlignment="1">
      <alignment horizontal="center" vertical="center"/>
    </xf>
    <xf numFmtId="0" fontId="9" fillId="9" borderId="10" xfId="3" applyNumberFormat="1" applyFont="1" applyFill="1" applyBorder="1" applyAlignment="1">
      <alignment horizontal="center" vertical="center" wrapText="1"/>
    </xf>
    <xf numFmtId="0" fontId="11" fillId="0" borderId="38" xfId="4" applyNumberFormat="1" applyFont="1" applyFill="1" applyBorder="1" applyAlignment="1" applyProtection="1">
      <alignment vertical="center"/>
    </xf>
    <xf numFmtId="0" fontId="9" fillId="0" borderId="39" xfId="3" applyNumberFormat="1" applyFont="1" applyFill="1" applyBorder="1" applyAlignment="1">
      <alignment horizontal="left" vertical="center" wrapText="1"/>
    </xf>
    <xf numFmtId="0" fontId="9" fillId="0" borderId="37" xfId="3" applyNumberFormat="1" applyFont="1" applyFill="1" applyBorder="1" applyAlignment="1">
      <alignment horizontal="center" vertical="center"/>
    </xf>
    <xf numFmtId="0" fontId="9" fillId="0" borderId="41" xfId="3" applyNumberFormat="1" applyFont="1" applyFill="1" applyBorder="1" applyAlignment="1">
      <alignment horizontal="center" vertical="center"/>
    </xf>
    <xf numFmtId="0" fontId="9" fillId="0" borderId="42" xfId="3" applyNumberFormat="1" applyFont="1" applyFill="1" applyBorder="1" applyAlignment="1">
      <alignment horizontal="center" vertical="center" wrapText="1"/>
    </xf>
    <xf numFmtId="0" fontId="17" fillId="0" borderId="43" xfId="24" applyNumberFormat="1" applyFont="1" applyBorder="1" applyAlignment="1">
      <alignment horizontal="center" vertical="center"/>
    </xf>
    <xf numFmtId="0" fontId="9" fillId="0" borderId="42" xfId="3" applyNumberFormat="1" applyFont="1" applyFill="1" applyBorder="1" applyAlignment="1">
      <alignment horizontal="left" vertical="center" wrapText="1"/>
    </xf>
    <xf numFmtId="0" fontId="9" fillId="0" borderId="44" xfId="3" applyNumberFormat="1" applyFont="1" applyFill="1" applyBorder="1" applyAlignment="1" applyProtection="1">
      <alignment horizontal="left" vertical="center" wrapText="1"/>
    </xf>
    <xf numFmtId="0" fontId="9" fillId="0" borderId="36" xfId="3" applyNumberFormat="1" applyFont="1" applyFill="1" applyBorder="1" applyAlignment="1" applyProtection="1">
      <alignment horizontal="center" vertical="center"/>
    </xf>
    <xf numFmtId="0" fontId="9" fillId="0" borderId="45" xfId="3" applyNumberFormat="1" applyFont="1" applyFill="1" applyBorder="1" applyAlignment="1" applyProtection="1">
      <alignment horizontal="center" vertical="center"/>
    </xf>
    <xf numFmtId="0" fontId="9" fillId="0" borderId="46" xfId="3" applyNumberFormat="1" applyFont="1" applyFill="1" applyBorder="1" applyAlignment="1" applyProtection="1">
      <alignment horizontal="center" vertical="center" wrapText="1"/>
    </xf>
    <xf numFmtId="0" fontId="17" fillId="0" borderId="47" xfId="24" applyNumberFormat="1" applyFont="1" applyBorder="1" applyAlignment="1">
      <alignment horizontal="center" vertical="center"/>
    </xf>
    <xf numFmtId="0" fontId="9" fillId="0" borderId="46" xfId="3" applyNumberFormat="1" applyFont="1" applyFill="1" applyBorder="1" applyAlignment="1" applyProtection="1">
      <alignment horizontal="left" vertical="center" wrapText="1"/>
    </xf>
    <xf numFmtId="0" fontId="9" fillId="0" borderId="36" xfId="3" applyNumberFormat="1" applyFont="1" applyFill="1" applyBorder="1" applyAlignment="1">
      <alignment horizontal="center" vertical="center"/>
    </xf>
    <xf numFmtId="0" fontId="9" fillId="0" borderId="46" xfId="3" applyNumberFormat="1" applyFont="1" applyFill="1" applyBorder="1" applyAlignment="1">
      <alignment horizontal="left" vertical="center" wrapText="1"/>
    </xf>
    <xf numFmtId="0" fontId="9" fillId="0" borderId="45" xfId="3" applyNumberFormat="1" applyFont="1" applyFill="1" applyBorder="1" applyAlignment="1">
      <alignment horizontal="center" vertical="center"/>
    </xf>
    <xf numFmtId="0" fontId="9" fillId="0" borderId="46" xfId="3" applyNumberFormat="1" applyFont="1" applyFill="1" applyBorder="1" applyAlignment="1">
      <alignment horizontal="center" vertical="center" wrapText="1"/>
    </xf>
    <xf numFmtId="0" fontId="9" fillId="0" borderId="48" xfId="3" applyNumberFormat="1" applyFont="1" applyFill="1" applyBorder="1" applyAlignment="1">
      <alignment horizontal="center" vertical="center"/>
    </xf>
    <xf numFmtId="0" fontId="9" fillId="0" borderId="40" xfId="3" applyNumberFormat="1" applyFont="1" applyFill="1" applyBorder="1" applyAlignment="1">
      <alignment horizontal="center" vertical="center" wrapText="1"/>
    </xf>
    <xf numFmtId="0" fontId="9" fillId="0" borderId="40" xfId="3" applyNumberFormat="1" applyFont="1" applyFill="1" applyBorder="1" applyAlignment="1">
      <alignment horizontal="left" vertical="center" wrapText="1"/>
    </xf>
    <xf numFmtId="0" fontId="9" fillId="0" borderId="44" xfId="3" applyNumberFormat="1" applyFont="1" applyFill="1" applyBorder="1" applyAlignment="1">
      <alignment horizontal="center" vertical="center"/>
    </xf>
    <xf numFmtId="0" fontId="9" fillId="0" borderId="36" xfId="3" applyNumberFormat="1" applyFont="1" applyFill="1" applyBorder="1" applyAlignment="1">
      <alignment horizontal="center" vertical="center" wrapText="1"/>
    </xf>
    <xf numFmtId="0" fontId="9" fillId="0" borderId="36" xfId="3" applyNumberFormat="1" applyFont="1" applyFill="1" applyBorder="1" applyAlignment="1">
      <alignment horizontal="left" vertical="center" wrapText="1"/>
    </xf>
    <xf numFmtId="0" fontId="9" fillId="0" borderId="38" xfId="15" applyNumberFormat="1" applyFont="1" applyBorder="1" applyAlignment="1">
      <alignment vertical="center" wrapText="1"/>
    </xf>
    <xf numFmtId="0" fontId="9" fillId="0" borderId="38" xfId="15" applyNumberFormat="1" applyFont="1" applyBorder="1" applyAlignment="1">
      <alignment horizontal="center" vertical="center"/>
    </xf>
    <xf numFmtId="0" fontId="9" fillId="0" borderId="38" xfId="15" applyNumberFormat="1" applyFont="1" applyBorder="1">
      <alignment vertical="center"/>
    </xf>
    <xf numFmtId="0" fontId="9" fillId="0" borderId="10" xfId="3" applyNumberFormat="1" applyFont="1" applyFill="1" applyBorder="1" applyAlignment="1" applyProtection="1">
      <alignment horizontal="left" vertical="center" wrapText="1"/>
    </xf>
    <xf numFmtId="0" fontId="17" fillId="0" borderId="30" xfId="24" applyNumberFormat="1" applyFont="1" applyFill="1" applyBorder="1" applyAlignment="1">
      <alignment horizontal="center" vertical="center"/>
    </xf>
    <xf numFmtId="0" fontId="17" fillId="0" borderId="32" xfId="24" applyNumberFormat="1" applyFont="1" applyFill="1" applyBorder="1" applyAlignment="1">
      <alignment horizontal="center" vertical="center"/>
    </xf>
    <xf numFmtId="0" fontId="17" fillId="0" borderId="31" xfId="24" applyNumberFormat="1" applyFont="1" applyFill="1" applyBorder="1" applyAlignment="1">
      <alignment horizontal="center" vertical="center"/>
    </xf>
    <xf numFmtId="0" fontId="30" fillId="0" borderId="38" xfId="15" applyNumberFormat="1" applyFont="1" applyBorder="1" applyAlignment="1">
      <alignment vertical="center" wrapText="1"/>
    </xf>
    <xf numFmtId="0" fontId="9" fillId="0" borderId="49" xfId="3" applyNumberFormat="1" applyFont="1" applyFill="1" applyBorder="1" applyAlignment="1">
      <alignment horizontal="center" vertical="center"/>
    </xf>
    <xf numFmtId="0" fontId="9" fillId="0" borderId="46" xfId="3" applyNumberFormat="1" applyFont="1" applyFill="1" applyBorder="1" applyAlignment="1">
      <alignment horizontal="center" vertical="center"/>
    </xf>
    <xf numFmtId="0" fontId="17" fillId="0" borderId="30" xfId="14" applyNumberFormat="1" applyFont="1" applyBorder="1" applyAlignment="1">
      <alignment horizontal="center" vertical="center"/>
    </xf>
    <xf numFmtId="14" fontId="9" fillId="0" borderId="38" xfId="15" applyNumberFormat="1" applyFont="1" applyBorder="1" applyAlignment="1">
      <alignment horizontal="center" vertical="center"/>
    </xf>
    <xf numFmtId="0" fontId="31" fillId="0" borderId="1" xfId="3" applyNumberFormat="1" applyFont="1" applyFill="1" applyBorder="1" applyAlignment="1">
      <alignment horizontal="center" vertical="center" wrapText="1"/>
    </xf>
    <xf numFmtId="0" fontId="9" fillId="0" borderId="38" xfId="15" applyNumberFormat="1" applyFont="1" applyBorder="1" applyAlignment="1">
      <alignment vertical="top" wrapText="1"/>
    </xf>
    <xf numFmtId="0" fontId="9" fillId="0" borderId="38" xfId="15" applyNumberFormat="1" applyFont="1" applyBorder="1" applyAlignment="1">
      <alignment horizontal="left" vertical="center" wrapText="1"/>
    </xf>
    <xf numFmtId="0" fontId="9" fillId="9" borderId="38" xfId="15" applyNumberFormat="1" applyFont="1" applyFill="1" applyBorder="1" applyAlignment="1">
      <alignment horizontal="center" vertical="center"/>
    </xf>
    <xf numFmtId="0" fontId="9" fillId="0" borderId="6" xfId="3" applyNumberFormat="1" applyFont="1" applyFill="1" applyBorder="1" applyAlignment="1" applyProtection="1">
      <alignment horizontal="left" vertical="center" wrapText="1"/>
    </xf>
    <xf numFmtId="0" fontId="19" fillId="3" borderId="1" xfId="1" applyNumberFormat="1" applyFont="1" applyFill="1" applyBorder="1" applyAlignment="1">
      <alignment horizontal="center" vertical="center" wrapText="1"/>
    </xf>
    <xf numFmtId="0" fontId="19" fillId="8" borderId="1" xfId="1" applyNumberFormat="1" applyFont="1" applyFill="1" applyBorder="1" applyAlignment="1">
      <alignment horizontal="center" vertical="center"/>
    </xf>
    <xf numFmtId="0" fontId="19" fillId="8" borderId="1" xfId="1" applyNumberFormat="1" applyFont="1" applyFill="1" applyBorder="1" applyAlignment="1">
      <alignment horizontal="center" vertical="center" wrapText="1"/>
    </xf>
    <xf numFmtId="0" fontId="17" fillId="0" borderId="10" xfId="1" applyNumberFormat="1" applyFont="1" applyFill="1" applyBorder="1" applyAlignment="1">
      <alignment horizontal="left" vertical="top" wrapText="1"/>
    </xf>
    <xf numFmtId="0" fontId="17" fillId="0" borderId="40" xfId="1" applyNumberFormat="1" applyFont="1" applyFill="1" applyBorder="1" applyAlignment="1">
      <alignment horizontal="left" vertical="top" wrapText="1"/>
    </xf>
    <xf numFmtId="0" fontId="17" fillId="0" borderId="36" xfId="1" applyNumberFormat="1" applyFont="1" applyFill="1" applyBorder="1" applyAlignment="1">
      <alignment horizontal="left" vertical="top" wrapText="1"/>
    </xf>
    <xf numFmtId="0" fontId="9" fillId="0" borderId="10" xfId="1" applyNumberFormat="1" applyFont="1" applyFill="1" applyBorder="1" applyAlignment="1">
      <alignment vertical="top"/>
    </xf>
    <xf numFmtId="0" fontId="17" fillId="9" borderId="30" xfId="24" applyNumberFormat="1" applyFont="1" applyFill="1" applyBorder="1" applyAlignment="1">
      <alignment horizontal="center" vertical="center"/>
    </xf>
    <xf numFmtId="0" fontId="9" fillId="0" borderId="38" xfId="15" applyNumberFormat="1" applyFont="1" applyFill="1" applyBorder="1" applyAlignment="1">
      <alignment horizontal="center" vertical="center"/>
    </xf>
    <xf numFmtId="14" fontId="9" fillId="0" borderId="38" xfId="15" applyNumberFormat="1" applyFont="1" applyFill="1" applyBorder="1" applyAlignment="1">
      <alignment horizontal="center" vertical="center"/>
    </xf>
    <xf numFmtId="0" fontId="9" fillId="0" borderId="38" xfId="15" applyNumberFormat="1" applyFont="1" applyFill="1" applyBorder="1">
      <alignment vertical="center"/>
    </xf>
    <xf numFmtId="0" fontId="9" fillId="0" borderId="38" xfId="15" applyNumberFormat="1" applyFont="1" applyFill="1" applyBorder="1" applyAlignment="1">
      <alignment vertical="center" wrapText="1"/>
    </xf>
    <xf numFmtId="0" fontId="9" fillId="0" borderId="49" xfId="3" applyNumberFormat="1" applyFont="1" applyFill="1" applyBorder="1" applyAlignment="1">
      <alignment horizontal="center" vertical="center" wrapText="1"/>
    </xf>
    <xf numFmtId="0" fontId="9" fillId="0" borderId="37" xfId="3" applyNumberFormat="1" applyFont="1" applyFill="1" applyBorder="1" applyAlignment="1">
      <alignment horizontal="center" vertical="center" wrapText="1"/>
    </xf>
    <xf numFmtId="0" fontId="32" fillId="0" borderId="1" xfId="16" applyNumberFormat="1" applyFont="1" applyFill="1" applyBorder="1" applyAlignment="1">
      <alignment horizontal="center" vertical="center" wrapText="1"/>
    </xf>
    <xf numFmtId="0" fontId="9" fillId="0" borderId="10" xfId="3" applyNumberFormat="1" applyFont="1" applyFill="1" applyBorder="1" applyAlignment="1">
      <alignment horizontal="center" vertical="center"/>
    </xf>
    <xf numFmtId="0" fontId="17" fillId="0" borderId="31" xfId="14" applyNumberFormat="1" applyFont="1" applyFill="1" applyBorder="1" applyAlignment="1">
      <alignment horizontal="center" vertical="center"/>
    </xf>
    <xf numFmtId="0" fontId="9" fillId="0" borderId="33" xfId="3" applyNumberFormat="1" applyFont="1" applyFill="1" applyBorder="1" applyAlignment="1">
      <alignment horizontal="center" vertical="center" wrapText="1"/>
    </xf>
    <xf numFmtId="0" fontId="17" fillId="0" borderId="30" xfId="14" applyNumberFormat="1" applyFont="1" applyFill="1" applyBorder="1" applyAlignment="1">
      <alignment horizontal="center" vertical="center"/>
    </xf>
    <xf numFmtId="0" fontId="9" fillId="0" borderId="5" xfId="1" applyNumberFormat="1" applyFont="1" applyFill="1" applyBorder="1" applyAlignment="1">
      <alignment vertical="center"/>
    </xf>
    <xf numFmtId="0" fontId="17" fillId="0" borderId="5" xfId="14" applyNumberFormat="1" applyFont="1" applyFill="1" applyBorder="1" applyAlignment="1">
      <alignment horizontal="center" vertical="center"/>
    </xf>
    <xf numFmtId="0" fontId="9" fillId="0" borderId="20" xfId="3" applyNumberFormat="1" applyFont="1" applyFill="1" applyBorder="1" applyAlignment="1">
      <alignment horizontal="center" vertical="center" wrapText="1"/>
    </xf>
    <xf numFmtId="0" fontId="9" fillId="0" borderId="12" xfId="1" applyNumberFormat="1" applyFont="1" applyFill="1" applyBorder="1" applyAlignment="1">
      <alignment vertical="center"/>
    </xf>
    <xf numFmtId="0" fontId="9" fillId="0" borderId="11" xfId="3" applyNumberFormat="1" applyFont="1" applyFill="1" applyBorder="1" applyAlignment="1">
      <alignment horizontal="center" vertical="center"/>
    </xf>
    <xf numFmtId="0" fontId="17" fillId="0" borderId="32" xfId="14" applyNumberFormat="1" applyFont="1" applyFill="1" applyBorder="1" applyAlignment="1">
      <alignment horizontal="center" vertical="center"/>
    </xf>
    <xf numFmtId="0" fontId="9" fillId="0" borderId="19" xfId="3" applyNumberFormat="1" applyFont="1" applyFill="1" applyBorder="1" applyAlignment="1">
      <alignment horizontal="center" vertical="center" wrapText="1"/>
    </xf>
    <xf numFmtId="0" fontId="9" fillId="0" borderId="36" xfId="3" applyNumberFormat="1" applyFont="1" applyFill="1" applyBorder="1" applyAlignment="1">
      <alignment horizontal="left" vertical="center"/>
    </xf>
    <xf numFmtId="0" fontId="9" fillId="9" borderId="38" xfId="15" quotePrefix="1" applyNumberFormat="1" applyFont="1" applyFill="1" applyBorder="1" applyAlignment="1">
      <alignment vertical="center" wrapText="1"/>
    </xf>
    <xf numFmtId="0" fontId="11" fillId="9" borderId="12" xfId="4" applyNumberFormat="1" applyFont="1" applyFill="1" applyBorder="1" applyAlignment="1" applyProtection="1">
      <alignment vertical="center"/>
    </xf>
    <xf numFmtId="0" fontId="9" fillId="9" borderId="15" xfId="3" applyNumberFormat="1" applyFont="1" applyFill="1" applyBorder="1" applyAlignment="1">
      <alignment horizontal="left" vertical="center" wrapText="1"/>
    </xf>
    <xf numFmtId="0" fontId="9" fillId="9" borderId="10" xfId="3" applyNumberFormat="1" applyFont="1" applyFill="1" applyBorder="1" applyAlignment="1">
      <alignment horizontal="left" vertical="center" wrapText="1"/>
    </xf>
    <xf numFmtId="0" fontId="9" fillId="9" borderId="37" xfId="3" applyNumberFormat="1" applyFont="1" applyFill="1" applyBorder="1" applyAlignment="1">
      <alignment horizontal="center" vertical="center"/>
    </xf>
    <xf numFmtId="0" fontId="9" fillId="9" borderId="1" xfId="3" applyNumberFormat="1" applyFont="1" applyFill="1" applyBorder="1" applyAlignment="1">
      <alignment vertical="center" wrapText="1"/>
    </xf>
    <xf numFmtId="0" fontId="9" fillId="0" borderId="38" xfId="15" quotePrefix="1" applyNumberFormat="1" applyFont="1" applyFill="1" applyBorder="1" applyAlignment="1">
      <alignment vertical="center" wrapText="1"/>
    </xf>
    <xf numFmtId="0" fontId="9" fillId="0" borderId="38" xfId="15" quotePrefix="1" applyNumberFormat="1" applyFont="1" applyFill="1" applyBorder="1" applyAlignment="1">
      <alignment horizontal="left" vertical="center"/>
    </xf>
    <xf numFmtId="177" fontId="9" fillId="0" borderId="38" xfId="15" applyNumberFormat="1" applyFont="1" applyFill="1" applyBorder="1" applyAlignment="1">
      <alignment horizontal="center" vertical="center"/>
    </xf>
    <xf numFmtId="0" fontId="9" fillId="0" borderId="4" xfId="3" applyNumberFormat="1" applyFont="1" applyFill="1" applyBorder="1" applyAlignment="1">
      <alignment horizontal="center" vertical="center" wrapText="1"/>
    </xf>
    <xf numFmtId="20" fontId="9" fillId="0" borderId="4" xfId="3" applyNumberFormat="1" applyFont="1" applyFill="1" applyBorder="1" applyAlignment="1">
      <alignment horizontal="center" vertical="center" wrapText="1"/>
    </xf>
    <xf numFmtId="0" fontId="9" fillId="0" borderId="50" xfId="3" applyNumberFormat="1" applyFont="1" applyFill="1" applyBorder="1" applyAlignment="1">
      <alignment vertical="center" wrapText="1"/>
    </xf>
    <xf numFmtId="0" fontId="9" fillId="0" borderId="4" xfId="3" applyNumberFormat="1" applyFont="1" applyFill="1" applyBorder="1" applyAlignment="1">
      <alignment horizontal="left" vertical="center" wrapText="1"/>
    </xf>
    <xf numFmtId="0" fontId="9" fillId="0" borderId="51" xfId="3" applyNumberFormat="1" applyFont="1" applyFill="1" applyBorder="1" applyAlignment="1">
      <alignment vertical="center" wrapText="1"/>
    </xf>
    <xf numFmtId="0" fontId="9" fillId="0" borderId="51" xfId="3" applyNumberFormat="1" applyFont="1" applyFill="1" applyBorder="1" applyAlignment="1">
      <alignment horizontal="center" vertical="center" wrapText="1"/>
    </xf>
    <xf numFmtId="20" fontId="9" fillId="0" borderId="51" xfId="3" applyNumberFormat="1" applyFont="1" applyFill="1" applyBorder="1" applyAlignment="1">
      <alignment horizontal="center" vertical="center" wrapText="1"/>
    </xf>
    <xf numFmtId="0" fontId="9" fillId="0" borderId="52" xfId="3" applyNumberFormat="1" applyFont="1" applyFill="1" applyBorder="1" applyAlignment="1">
      <alignment vertical="center" wrapText="1"/>
    </xf>
    <xf numFmtId="0" fontId="9" fillId="0" borderId="51" xfId="3" applyNumberFormat="1" applyFont="1" applyFill="1" applyBorder="1" applyAlignment="1">
      <alignment horizontal="left" vertical="center" wrapText="1"/>
    </xf>
    <xf numFmtId="0" fontId="9" fillId="0" borderId="10" xfId="0" applyNumberFormat="1" applyFont="1" applyFill="1" applyBorder="1" applyAlignment="1">
      <alignment vertical="center"/>
    </xf>
    <xf numFmtId="0" fontId="9" fillId="0" borderId="20" xfId="3" applyNumberFormat="1" applyFont="1" applyFill="1" applyBorder="1" applyAlignment="1" applyProtection="1">
      <alignment horizontal="left" vertical="center"/>
    </xf>
    <xf numFmtId="0" fontId="9" fillId="0" borderId="5" xfId="3" applyNumberFormat="1" applyFont="1" applyFill="1" applyBorder="1" applyAlignment="1" applyProtection="1">
      <alignment horizontal="left" vertical="center"/>
    </xf>
    <xf numFmtId="0" fontId="9" fillId="0" borderId="5" xfId="3" applyNumberFormat="1" applyFont="1" applyFill="1" applyBorder="1" applyAlignment="1" applyProtection="1">
      <alignment horizontal="center" vertical="center"/>
    </xf>
    <xf numFmtId="0" fontId="9" fillId="0" borderId="20" xfId="3" applyNumberFormat="1" applyFont="1" applyFill="1" applyBorder="1" applyAlignment="1" applyProtection="1">
      <alignment horizontal="center" vertical="center"/>
    </xf>
    <xf numFmtId="49" fontId="9" fillId="0" borderId="5" xfId="3" applyNumberFormat="1" applyFont="1" applyFill="1" applyBorder="1" applyAlignment="1" applyProtection="1">
      <alignment horizontal="left" vertical="top" wrapText="1"/>
    </xf>
    <xf numFmtId="0" fontId="9" fillId="0" borderId="20" xfId="3" applyNumberFormat="1" applyFont="1" applyFill="1" applyBorder="1" applyAlignment="1" applyProtection="1">
      <alignment vertical="center"/>
    </xf>
    <xf numFmtId="0" fontId="17" fillId="7" borderId="30" xfId="14" applyNumberFormat="1" applyFont="1" applyFill="1" applyBorder="1" applyAlignment="1">
      <alignment horizontal="center" vertical="center"/>
    </xf>
    <xf numFmtId="0" fontId="9" fillId="0" borderId="10" xfId="0" applyNumberFormat="1" applyFont="1" applyFill="1" applyBorder="1" applyAlignment="1" applyProtection="1">
      <alignment vertical="center"/>
    </xf>
    <xf numFmtId="0" fontId="9" fillId="0" borderId="21" xfId="3" applyNumberFormat="1" applyFont="1" applyFill="1" applyBorder="1" applyAlignment="1" applyProtection="1">
      <alignment horizontal="left" vertical="center"/>
    </xf>
    <xf numFmtId="0" fontId="9" fillId="0" borderId="27" xfId="3" applyNumberFormat="1" applyFont="1" applyFill="1" applyBorder="1" applyAlignment="1" applyProtection="1">
      <alignment horizontal="left" vertical="center"/>
    </xf>
    <xf numFmtId="0" fontId="9" fillId="0" borderId="12" xfId="0" applyNumberFormat="1" applyFont="1" applyFill="1" applyBorder="1" applyAlignment="1" applyProtection="1">
      <alignment vertical="center"/>
    </xf>
    <xf numFmtId="0" fontId="9" fillId="0" borderId="12" xfId="3" applyNumberFormat="1" applyFont="1" applyFill="1" applyBorder="1" applyAlignment="1" applyProtection="1">
      <alignment horizontal="center" vertical="center"/>
    </xf>
    <xf numFmtId="0" fontId="17" fillId="0" borderId="32" xfId="14" applyNumberFormat="1" applyFont="1" applyBorder="1" applyAlignment="1">
      <alignment horizontal="center" vertical="center"/>
    </xf>
    <xf numFmtId="0" fontId="9" fillId="0" borderId="21" xfId="3" applyNumberFormat="1" applyFont="1" applyFill="1" applyBorder="1" applyAlignment="1" applyProtection="1">
      <alignment horizontal="center" vertical="center"/>
    </xf>
    <xf numFmtId="49" fontId="9" fillId="0" borderId="12" xfId="3" applyNumberFormat="1" applyFont="1" applyFill="1" applyBorder="1" applyAlignment="1" applyProtection="1">
      <alignment horizontal="left" vertical="top" wrapText="1"/>
    </xf>
    <xf numFmtId="0" fontId="9" fillId="0" borderId="21" xfId="3" applyNumberFormat="1" applyFont="1" applyFill="1" applyBorder="1" applyAlignment="1" applyProtection="1">
      <alignment vertical="center"/>
    </xf>
    <xf numFmtId="0" fontId="9" fillId="9" borderId="6" xfId="3" applyNumberFormat="1" applyFont="1" applyFill="1" applyBorder="1" applyAlignment="1">
      <alignment horizontal="left" vertical="center" wrapText="1"/>
    </xf>
    <xf numFmtId="0" fontId="35" fillId="0" borderId="38" xfId="0" applyFont="1" applyFill="1" applyBorder="1" applyAlignment="1">
      <alignment horizontal="center" vertical="top" wrapText="1"/>
    </xf>
    <xf numFmtId="0" fontId="35" fillId="0" borderId="38" xfId="0" applyFont="1" applyFill="1" applyBorder="1" applyAlignment="1">
      <alignment horizontal="left" vertical="top" wrapText="1"/>
    </xf>
    <xf numFmtId="0" fontId="9" fillId="0" borderId="4" xfId="3" applyNumberFormat="1" applyFont="1" applyBorder="1" applyAlignment="1">
      <alignment horizontal="left" vertical="center"/>
    </xf>
    <xf numFmtId="0" fontId="35" fillId="0" borderId="53" xfId="0" applyFont="1" applyFill="1" applyBorder="1" applyAlignment="1">
      <alignment horizontal="left" vertical="top"/>
    </xf>
    <xf numFmtId="0" fontId="9" fillId="0" borderId="4" xfId="3" applyNumberFormat="1" applyFont="1" applyFill="1" applyBorder="1" applyAlignment="1">
      <alignment horizontal="center" vertical="center"/>
    </xf>
    <xf numFmtId="0" fontId="37" fillId="0" borderId="54" xfId="24" applyNumberFormat="1" applyFont="1" applyBorder="1" applyAlignment="1">
      <alignment vertical="top"/>
    </xf>
    <xf numFmtId="0" fontId="37" fillId="0" borderId="54" xfId="24" applyNumberFormat="1" applyFont="1" applyBorder="1" applyAlignment="1">
      <alignment horizontal="center" vertical="top"/>
    </xf>
    <xf numFmtId="0" fontId="38" fillId="0" borderId="54" xfId="22" applyNumberFormat="1" applyFont="1" applyFill="1" applyBorder="1" applyAlignment="1">
      <alignment horizontal="center" vertical="top"/>
    </xf>
    <xf numFmtId="0" fontId="9" fillId="0" borderId="55" xfId="3" applyNumberFormat="1" applyFont="1" applyFill="1" applyBorder="1">
      <alignment vertical="center"/>
    </xf>
    <xf numFmtId="0" fontId="35" fillId="0" borderId="56" xfId="0" applyFont="1" applyFill="1" applyBorder="1" applyAlignment="1">
      <alignment horizontal="left" vertical="top"/>
    </xf>
    <xf numFmtId="0" fontId="35" fillId="0" borderId="57" xfId="0" applyFont="1" applyFill="1" applyBorder="1" applyAlignment="1">
      <alignment horizontal="left" vertical="top" wrapText="1"/>
    </xf>
    <xf numFmtId="0" fontId="37" fillId="0" borderId="58" xfId="24" applyNumberFormat="1" applyFont="1" applyBorder="1" applyAlignment="1">
      <alignment vertical="top"/>
    </xf>
    <xf numFmtId="0" fontId="37" fillId="0" borderId="58" xfId="24" applyNumberFormat="1" applyFont="1" applyBorder="1" applyAlignment="1">
      <alignment horizontal="center" vertical="top"/>
    </xf>
    <xf numFmtId="0" fontId="38" fillId="0" borderId="58" xfId="22" applyNumberFormat="1" applyFont="1" applyFill="1" applyBorder="1" applyAlignment="1">
      <alignment horizontal="center" vertical="top"/>
    </xf>
    <xf numFmtId="0" fontId="9" fillId="0" borderId="59" xfId="3" applyNumberFormat="1" applyFont="1" applyFill="1" applyBorder="1">
      <alignment vertical="center"/>
    </xf>
    <xf numFmtId="0" fontId="9" fillId="0" borderId="36" xfId="3" applyNumberFormat="1" applyFont="1" applyBorder="1" applyAlignment="1">
      <alignment horizontal="left" vertical="center"/>
    </xf>
    <xf numFmtId="0" fontId="37" fillId="0" borderId="36" xfId="24" applyNumberFormat="1" applyFont="1" applyBorder="1" applyAlignment="1">
      <alignment vertical="top"/>
    </xf>
    <xf numFmtId="0" fontId="37" fillId="0" borderId="36" xfId="24" applyNumberFormat="1" applyFont="1" applyBorder="1" applyAlignment="1">
      <alignment horizontal="center" vertical="top"/>
    </xf>
    <xf numFmtId="0" fontId="38" fillId="0" borderId="36" xfId="22" applyNumberFormat="1" applyFont="1" applyFill="1" applyBorder="1" applyAlignment="1">
      <alignment horizontal="center" vertical="top"/>
    </xf>
    <xf numFmtId="0" fontId="9" fillId="0" borderId="61" xfId="3" applyNumberFormat="1" applyFont="1" applyFill="1" applyBorder="1">
      <alignment vertical="center"/>
    </xf>
    <xf numFmtId="0" fontId="9" fillId="0" borderId="12" xfId="3" applyNumberFormat="1" applyFont="1" applyBorder="1" applyAlignment="1">
      <alignment horizontal="left" vertical="center"/>
    </xf>
    <xf numFmtId="0" fontId="2" fillId="0" borderId="0" xfId="4">
      <alignment vertical="top"/>
      <protection locked="0"/>
    </xf>
    <xf numFmtId="0" fontId="35" fillId="0" borderId="57" xfId="0" applyFont="1" applyFill="1" applyBorder="1" applyAlignment="1">
      <alignment horizontal="left" vertical="top"/>
    </xf>
    <xf numFmtId="0" fontId="39" fillId="10" borderId="57" xfId="0" applyFont="1" applyFill="1" applyBorder="1" applyAlignment="1">
      <alignment horizontal="left" vertical="top" wrapText="1"/>
    </xf>
    <xf numFmtId="0" fontId="39" fillId="10" borderId="56" xfId="0" applyFont="1" applyFill="1" applyBorder="1" applyAlignment="1">
      <alignment horizontal="left" vertical="top" wrapText="1"/>
    </xf>
    <xf numFmtId="0" fontId="39" fillId="10" borderId="60" xfId="0" applyFont="1" applyFill="1" applyBorder="1" applyAlignment="1">
      <alignment horizontal="left" vertical="top" wrapText="1"/>
    </xf>
    <xf numFmtId="0" fontId="39" fillId="10" borderId="36" xfId="0" applyFont="1" applyFill="1" applyBorder="1" applyAlignment="1">
      <alignment horizontal="left" vertical="top" wrapText="1"/>
    </xf>
    <xf numFmtId="0" fontId="39" fillId="10" borderId="53" xfId="0" applyFont="1" applyFill="1" applyBorder="1" applyAlignment="1">
      <alignment horizontal="left" vertical="top" wrapText="1"/>
    </xf>
    <xf numFmtId="0" fontId="2" fillId="0" borderId="0" xfId="4" applyFill="1">
      <alignment vertical="top"/>
      <protection locked="0"/>
    </xf>
    <xf numFmtId="0" fontId="35" fillId="0" borderId="38" xfId="0" applyFont="1" applyFill="1" applyBorder="1" applyAlignment="1">
      <alignment vertical="top" wrapText="1"/>
    </xf>
    <xf numFmtId="0" fontId="9" fillId="0" borderId="38" xfId="3" applyNumberFormat="1" applyFont="1" applyFill="1" applyBorder="1" applyAlignment="1">
      <alignment vertical="center"/>
    </xf>
    <xf numFmtId="0" fontId="9" fillId="0" borderId="38" xfId="3" applyNumberFormat="1" applyFont="1" applyFill="1" applyBorder="1" applyAlignment="1">
      <alignment vertical="center" wrapText="1"/>
    </xf>
    <xf numFmtId="0" fontId="35" fillId="0" borderId="38" xfId="0" applyFont="1" applyFill="1" applyBorder="1" applyAlignment="1">
      <alignment horizontal="right" vertical="top" wrapText="1"/>
    </xf>
    <xf numFmtId="20" fontId="35" fillId="0" borderId="38" xfId="0" applyNumberFormat="1" applyFont="1" applyFill="1" applyBorder="1" applyAlignment="1">
      <alignment horizontal="center" vertical="top" wrapText="1"/>
    </xf>
    <xf numFmtId="14" fontId="31" fillId="0" borderId="38" xfId="15" applyNumberFormat="1" applyFont="1" applyFill="1" applyBorder="1" applyAlignment="1">
      <alignment horizontal="center" vertical="center"/>
    </xf>
    <xf numFmtId="0" fontId="31" fillId="0" borderId="38" xfId="15" quotePrefix="1" applyNumberFormat="1" applyFont="1" applyFill="1" applyBorder="1" applyAlignment="1">
      <alignment horizontal="left" vertical="center"/>
    </xf>
    <xf numFmtId="0" fontId="40" fillId="0" borderId="38" xfId="16" applyFont="1" applyFill="1" applyBorder="1" applyAlignment="1">
      <alignment horizontal="center" vertical="center"/>
    </xf>
    <xf numFmtId="0" fontId="40" fillId="0" borderId="0" xfId="16" applyFont="1" applyFill="1" applyAlignment="1">
      <alignment vertical="center"/>
    </xf>
    <xf numFmtId="0" fontId="40" fillId="0" borderId="38" xfId="16" applyFont="1" applyFill="1" applyBorder="1" applyAlignment="1">
      <alignment horizontal="center" vertical="center" wrapText="1"/>
    </xf>
    <xf numFmtId="0" fontId="31" fillId="0" borderId="38" xfId="15" quotePrefix="1" applyNumberFormat="1" applyFont="1" applyFill="1" applyBorder="1" applyAlignment="1">
      <alignment horizontal="left" vertical="center" wrapText="1"/>
    </xf>
    <xf numFmtId="14" fontId="9" fillId="0" borderId="38" xfId="15" applyNumberFormat="1" applyFont="1" applyFill="1" applyBorder="1" applyAlignment="1">
      <alignment horizontal="center" vertical="center" wrapText="1"/>
    </xf>
    <xf numFmtId="0" fontId="31" fillId="0" borderId="38" xfId="15" quotePrefix="1" applyNumberFormat="1" applyFont="1" applyFill="1" applyBorder="1" applyAlignment="1">
      <alignment vertical="center" wrapText="1"/>
    </xf>
    <xf numFmtId="0" fontId="9" fillId="0" borderId="38" xfId="15" quotePrefix="1" applyNumberFormat="1" applyFont="1" applyFill="1" applyBorder="1" applyAlignment="1">
      <alignment horizontal="left" vertical="center" wrapText="1"/>
    </xf>
    <xf numFmtId="0" fontId="30" fillId="0" borderId="12" xfId="4" applyNumberFormat="1" applyFont="1" applyFill="1" applyBorder="1" applyAlignment="1" applyProtection="1">
      <alignment vertical="center"/>
    </xf>
    <xf numFmtId="0" fontId="30" fillId="0" borderId="15" xfId="3" applyNumberFormat="1" applyFont="1" applyFill="1" applyBorder="1" applyAlignment="1">
      <alignment horizontal="left" vertical="center" wrapText="1"/>
    </xf>
    <xf numFmtId="0" fontId="30" fillId="0" borderId="37" xfId="3" applyNumberFormat="1" applyFont="1" applyFill="1" applyBorder="1" applyAlignment="1">
      <alignment horizontal="center" vertical="center"/>
    </xf>
    <xf numFmtId="0" fontId="30" fillId="0" borderId="10" xfId="3" applyNumberFormat="1" applyFont="1" applyFill="1" applyBorder="1" applyAlignment="1">
      <alignment horizontal="left" vertical="center" wrapText="1"/>
    </xf>
    <xf numFmtId="0" fontId="30" fillId="0" borderId="33" xfId="3" applyNumberFormat="1" applyFont="1" applyFill="1" applyBorder="1" applyAlignment="1">
      <alignment horizontal="center" vertical="center"/>
    </xf>
    <xf numFmtId="0" fontId="42" fillId="0" borderId="30" xfId="24" applyNumberFormat="1" applyFont="1" applyFill="1" applyBorder="1" applyAlignment="1">
      <alignment horizontal="center" vertical="center"/>
    </xf>
    <xf numFmtId="0" fontId="30" fillId="0" borderId="14" xfId="3" applyNumberFormat="1" applyFont="1" applyFill="1" applyBorder="1" applyAlignment="1">
      <alignment horizontal="center" vertical="center"/>
    </xf>
    <xf numFmtId="0" fontId="30" fillId="0" borderId="40" xfId="3" applyNumberFormat="1" applyFont="1" applyFill="1" applyBorder="1" applyAlignment="1">
      <alignment horizontal="center" vertical="center" wrapText="1"/>
    </xf>
    <xf numFmtId="0" fontId="30" fillId="0" borderId="6" xfId="3" applyNumberFormat="1" applyFont="1" applyFill="1" applyBorder="1" applyAlignment="1">
      <alignment horizontal="left" vertical="center" wrapText="1"/>
    </xf>
    <xf numFmtId="0" fontId="30" fillId="0" borderId="49" xfId="3" applyNumberFormat="1" applyFont="1" applyFill="1" applyBorder="1" applyAlignment="1">
      <alignment horizontal="center" vertical="center"/>
    </xf>
    <xf numFmtId="0" fontId="37" fillId="0" borderId="58" xfId="24" applyNumberFormat="1" applyFont="1" applyFill="1" applyBorder="1" applyAlignment="1">
      <alignment vertical="top"/>
    </xf>
    <xf numFmtId="0" fontId="37" fillId="0" borderId="58" xfId="24" applyNumberFormat="1" applyFont="1" applyFill="1" applyBorder="1" applyAlignment="1">
      <alignment horizontal="center" vertical="top"/>
    </xf>
    <xf numFmtId="0" fontId="39" fillId="0" borderId="57" xfId="0" applyFont="1" applyFill="1" applyBorder="1" applyAlignment="1">
      <alignment horizontal="left" vertical="top" wrapText="1"/>
    </xf>
    <xf numFmtId="0" fontId="39" fillId="0" borderId="56" xfId="0" applyFont="1" applyFill="1" applyBorder="1" applyAlignment="1">
      <alignment horizontal="left" vertical="top" wrapText="1"/>
    </xf>
    <xf numFmtId="0" fontId="9" fillId="0" borderId="4" xfId="3" applyNumberFormat="1" applyFont="1" applyFill="1" applyBorder="1" applyAlignment="1">
      <alignment horizontal="left" vertical="center"/>
    </xf>
    <xf numFmtId="0" fontId="37" fillId="0" borderId="35" xfId="24" applyNumberFormat="1" applyFont="1" applyFill="1" applyBorder="1" applyAlignment="1">
      <alignment vertical="top"/>
    </xf>
    <xf numFmtId="0" fontId="37" fillId="0" borderId="35" xfId="24" applyNumberFormat="1" applyFont="1" applyFill="1" applyBorder="1" applyAlignment="1">
      <alignment horizontal="center" vertical="top"/>
    </xf>
    <xf numFmtId="0" fontId="38" fillId="0" borderId="35" xfId="22" applyNumberFormat="1" applyFont="1" applyFill="1" applyBorder="1" applyAlignment="1">
      <alignment horizontal="center" vertical="top"/>
    </xf>
    <xf numFmtId="0" fontId="37" fillId="0" borderId="37" xfId="24" applyNumberFormat="1" applyFont="1" applyFill="1" applyBorder="1" applyAlignment="1">
      <alignment vertical="top"/>
    </xf>
    <xf numFmtId="0" fontId="37" fillId="0" borderId="37" xfId="24" applyNumberFormat="1" applyFont="1" applyFill="1" applyBorder="1" applyAlignment="1">
      <alignment horizontal="center" vertical="top"/>
    </xf>
    <xf numFmtId="0" fontId="38" fillId="0" borderId="37" xfId="22" applyNumberFormat="1" applyFont="1" applyFill="1" applyBorder="1" applyAlignment="1">
      <alignment horizontal="center" vertical="top"/>
    </xf>
    <xf numFmtId="0" fontId="9" fillId="0" borderId="12" xfId="3" applyNumberFormat="1" applyFont="1" applyFill="1" applyBorder="1" applyAlignment="1">
      <alignment horizontal="left" vertical="center"/>
    </xf>
    <xf numFmtId="0" fontId="37" fillId="0" borderId="36" xfId="24" applyNumberFormat="1" applyFont="1" applyFill="1" applyBorder="1" applyAlignment="1">
      <alignment vertical="top"/>
    </xf>
    <xf numFmtId="0" fontId="37" fillId="0" borderId="36" xfId="24" applyNumberFormat="1" applyFont="1" applyFill="1" applyBorder="1" applyAlignment="1">
      <alignment horizontal="center" vertical="top"/>
    </xf>
    <xf numFmtId="0" fontId="39" fillId="0" borderId="60" xfId="0" applyFont="1" applyFill="1" applyBorder="1" applyAlignment="1">
      <alignment horizontal="left" vertical="top" wrapText="1"/>
    </xf>
    <xf numFmtId="0" fontId="35" fillId="0" borderId="37" xfId="0" applyFont="1" applyFill="1" applyBorder="1" applyAlignment="1">
      <alignment horizontal="left" vertical="top"/>
    </xf>
    <xf numFmtId="0" fontId="37" fillId="0" borderId="54" xfId="24" applyNumberFormat="1" applyFont="1" applyFill="1" applyBorder="1" applyAlignment="1">
      <alignment vertical="top"/>
    </xf>
    <xf numFmtId="0" fontId="37" fillId="0" borderId="54" xfId="24" applyNumberFormat="1" applyFont="1" applyFill="1" applyBorder="1" applyAlignment="1">
      <alignment horizontal="center" vertical="top"/>
    </xf>
    <xf numFmtId="0" fontId="35" fillId="0" borderId="37" xfId="0" applyFont="1" applyFill="1" applyBorder="1" applyAlignment="1">
      <alignment horizontal="left" vertical="top" wrapText="1"/>
    </xf>
    <xf numFmtId="0" fontId="39" fillId="0" borderId="36" xfId="0" applyFont="1" applyFill="1" applyBorder="1" applyAlignment="1">
      <alignment horizontal="left" vertical="top" wrapText="1"/>
    </xf>
    <xf numFmtId="49" fontId="9" fillId="0" borderId="12" xfId="3" applyNumberFormat="1" applyFont="1" applyFill="1" applyBorder="1" applyAlignment="1">
      <alignment horizontal="left" vertical="top" wrapText="1"/>
    </xf>
    <xf numFmtId="0" fontId="35" fillId="0" borderId="35" xfId="0" applyFont="1" applyFill="1" applyBorder="1" applyAlignment="1">
      <alignment horizontal="left" vertical="top"/>
    </xf>
    <xf numFmtId="0" fontId="9" fillId="0" borderId="35" xfId="3" applyNumberFormat="1" applyFont="1" applyFill="1" applyBorder="1" applyAlignment="1">
      <alignment horizontal="left" vertical="center"/>
    </xf>
    <xf numFmtId="0" fontId="35" fillId="0" borderId="59" xfId="0" applyFont="1" applyFill="1" applyBorder="1" applyAlignment="1">
      <alignment horizontal="left" vertical="top"/>
    </xf>
    <xf numFmtId="0" fontId="35" fillId="0" borderId="53" xfId="0" applyFont="1" applyFill="1" applyBorder="1" applyAlignment="1">
      <alignment horizontal="left" vertical="top" wrapText="1"/>
    </xf>
    <xf numFmtId="0" fontId="39" fillId="0" borderId="53" xfId="0" applyFont="1" applyFill="1" applyBorder="1" applyAlignment="1">
      <alignment horizontal="left" vertical="top" wrapText="1"/>
    </xf>
    <xf numFmtId="0" fontId="9" fillId="0" borderId="37" xfId="3" applyNumberFormat="1" applyFont="1" applyFill="1" applyBorder="1" applyAlignment="1">
      <alignment horizontal="left" vertical="center"/>
    </xf>
    <xf numFmtId="0" fontId="35" fillId="0" borderId="36" xfId="0" applyFont="1" applyFill="1" applyBorder="1" applyAlignment="1">
      <alignment horizontal="left" vertical="top" wrapText="1"/>
    </xf>
    <xf numFmtId="0" fontId="43" fillId="0" borderId="0" xfId="16" applyFont="1" applyAlignment="1">
      <alignment vertical="center"/>
    </xf>
    <xf numFmtId="0" fontId="7" fillId="0" borderId="0" xfId="16"/>
    <xf numFmtId="49" fontId="7" fillId="0" borderId="0" xfId="16" applyNumberFormat="1"/>
    <xf numFmtId="0" fontId="7" fillId="0" borderId="0" xfId="16" applyNumberFormat="1"/>
    <xf numFmtId="0" fontId="46" fillId="0" borderId="0" xfId="16" applyFont="1"/>
    <xf numFmtId="0" fontId="47" fillId="0" borderId="38" xfId="16" applyFont="1" applyBorder="1" applyAlignment="1">
      <alignment horizontal="center" vertical="center" wrapText="1"/>
    </xf>
    <xf numFmtId="0" fontId="42" fillId="0" borderId="38" xfId="16" applyFont="1" applyBorder="1" applyAlignment="1">
      <alignment horizontal="center" vertical="center" wrapText="1"/>
    </xf>
    <xf numFmtId="0" fontId="48" fillId="0" borderId="0" xfId="16" applyNumberFormat="1" applyFont="1" applyFill="1"/>
    <xf numFmtId="0" fontId="47" fillId="0" borderId="35" xfId="16" applyFont="1" applyBorder="1" applyAlignment="1">
      <alignment horizontal="center" vertical="center" wrapText="1"/>
    </xf>
    <xf numFmtId="0" fontId="47" fillId="0" borderId="38" xfId="16" applyFont="1" applyBorder="1" applyAlignment="1">
      <alignment horizontal="center" vertical="center"/>
    </xf>
    <xf numFmtId="0" fontId="49" fillId="0" borderId="38" xfId="16" applyFont="1" applyBorder="1" applyAlignment="1">
      <alignment horizontal="center" vertical="center" wrapText="1"/>
    </xf>
    <xf numFmtId="0" fontId="49" fillId="0" borderId="38" xfId="16" applyFont="1" applyBorder="1" applyAlignment="1">
      <alignment horizontal="center" vertical="center"/>
    </xf>
    <xf numFmtId="0" fontId="47" fillId="0" borderId="38" xfId="16" applyFont="1" applyFill="1" applyBorder="1" applyAlignment="1">
      <alignment horizontal="center" vertical="center" wrapText="1"/>
    </xf>
    <xf numFmtId="0" fontId="47" fillId="0" borderId="36" xfId="16" applyFont="1" applyFill="1" applyBorder="1" applyAlignment="1">
      <alignment horizontal="center" vertical="center" wrapText="1"/>
    </xf>
    <xf numFmtId="0" fontId="47" fillId="0" borderId="38" xfId="16" applyFont="1" applyFill="1" applyBorder="1" applyAlignment="1">
      <alignment horizontal="center" vertical="center"/>
    </xf>
    <xf numFmtId="0" fontId="14" fillId="9" borderId="1" xfId="16" applyNumberFormat="1" applyFont="1" applyFill="1" applyBorder="1" applyAlignment="1">
      <alignment horizontal="center" vertical="center" wrapText="1"/>
    </xf>
    <xf numFmtId="0" fontId="14" fillId="9" borderId="1" xfId="16" applyNumberFormat="1" applyFont="1" applyFill="1" applyBorder="1" applyAlignment="1">
      <alignment horizontal="center" vertical="center"/>
    </xf>
    <xf numFmtId="0" fontId="9" fillId="9" borderId="1" xfId="3" applyNumberFormat="1" applyFont="1" applyFill="1" applyBorder="1" applyAlignment="1">
      <alignment horizontal="center" vertical="center" wrapText="1"/>
    </xf>
    <xf numFmtId="20" fontId="9" fillId="9" borderId="1" xfId="3" applyNumberFormat="1" applyFont="1" applyFill="1" applyBorder="1" applyAlignment="1">
      <alignment horizontal="center" vertical="center" wrapText="1"/>
    </xf>
    <xf numFmtId="0" fontId="9" fillId="9" borderId="2" xfId="3" applyNumberFormat="1" applyFont="1" applyFill="1" applyBorder="1" applyAlignment="1">
      <alignment vertical="center" wrapText="1"/>
    </xf>
    <xf numFmtId="0" fontId="9" fillId="9" borderId="33" xfId="3" applyNumberFormat="1" applyFont="1" applyFill="1" applyBorder="1" applyAlignment="1">
      <alignment horizontal="center" vertical="center"/>
    </xf>
    <xf numFmtId="0" fontId="9" fillId="9" borderId="14" xfId="3" applyNumberFormat="1" applyFont="1" applyFill="1" applyBorder="1" applyAlignment="1">
      <alignment horizontal="center" vertical="center"/>
    </xf>
    <xf numFmtId="0" fontId="9" fillId="9" borderId="40" xfId="3" applyNumberFormat="1" applyFont="1" applyFill="1" applyBorder="1" applyAlignment="1">
      <alignment horizontal="center" vertical="center" wrapText="1"/>
    </xf>
    <xf numFmtId="0" fontId="9" fillId="9" borderId="6" xfId="3" quotePrefix="1" applyNumberFormat="1" applyFont="1" applyFill="1" applyBorder="1" applyAlignment="1">
      <alignment horizontal="left" vertical="center" wrapText="1"/>
    </xf>
    <xf numFmtId="0" fontId="32" fillId="0" borderId="1" xfId="16" applyNumberFormat="1" applyFont="1" applyFill="1" applyBorder="1" applyAlignment="1">
      <alignment horizontal="left" vertical="center" wrapText="1"/>
    </xf>
    <xf numFmtId="0" fontId="9" fillId="9" borderId="1" xfId="3" applyNumberFormat="1" applyFont="1" applyFill="1" applyBorder="1" applyAlignment="1">
      <alignment horizontal="center" vertical="center"/>
    </xf>
    <xf numFmtId="0" fontId="17" fillId="0" borderId="47" xfId="24" applyNumberFormat="1" applyFont="1" applyFill="1" applyBorder="1" applyAlignment="1">
      <alignment horizontal="center" vertical="center"/>
    </xf>
    <xf numFmtId="0" fontId="32" fillId="9" borderId="1" xfId="16" applyNumberFormat="1" applyFont="1" applyFill="1" applyBorder="1" applyAlignment="1">
      <alignment horizontal="center" vertical="center" wrapText="1"/>
    </xf>
    <xf numFmtId="0" fontId="32" fillId="9" borderId="1" xfId="16" applyNumberFormat="1" applyFont="1" applyFill="1" applyBorder="1" applyAlignment="1">
      <alignment horizontal="left" vertical="center" wrapText="1"/>
    </xf>
    <xf numFmtId="0" fontId="49" fillId="0" borderId="38" xfId="16" applyFont="1" applyFill="1" applyBorder="1" applyAlignment="1">
      <alignment horizontal="center" vertical="center" wrapText="1"/>
    </xf>
    <xf numFmtId="0" fontId="49" fillId="0" borderId="36" xfId="16" applyFont="1" applyFill="1" applyBorder="1" applyAlignment="1">
      <alignment horizontal="center" vertical="center" wrapText="1"/>
    </xf>
    <xf numFmtId="0" fontId="49" fillId="0" borderId="38" xfId="16" applyFont="1" applyFill="1" applyBorder="1" applyAlignment="1">
      <alignment horizontal="center" vertical="center"/>
    </xf>
    <xf numFmtId="0" fontId="47" fillId="0" borderId="38" xfId="16" applyNumberFormat="1" applyFont="1" applyFill="1" applyBorder="1" applyAlignment="1">
      <alignment horizontal="center" vertical="center"/>
    </xf>
    <xf numFmtId="0" fontId="47" fillId="0" borderId="36" xfId="16" applyNumberFormat="1" applyFont="1" applyFill="1" applyBorder="1" applyAlignment="1">
      <alignment horizontal="center" vertical="center"/>
    </xf>
    <xf numFmtId="0" fontId="9" fillId="9" borderId="38" xfId="15" quotePrefix="1" applyNumberFormat="1" applyFont="1" applyFill="1" applyBorder="1" applyAlignment="1">
      <alignment horizontal="left" vertical="center" wrapText="1"/>
    </xf>
    <xf numFmtId="0" fontId="10" fillId="9" borderId="10" xfId="3" applyNumberFormat="1" applyFont="1" applyFill="1" applyBorder="1" applyAlignment="1">
      <alignment horizontal="left" vertical="center" wrapText="1"/>
    </xf>
    <xf numFmtId="0" fontId="9" fillId="9" borderId="49" xfId="3" applyNumberFormat="1" applyFont="1" applyFill="1" applyBorder="1" applyAlignment="1">
      <alignment horizontal="center" vertical="center"/>
    </xf>
    <xf numFmtId="0" fontId="9" fillId="9" borderId="5" xfId="3" applyNumberFormat="1" applyFont="1" applyFill="1" applyBorder="1" applyAlignment="1">
      <alignment horizontal="center" vertical="center" wrapText="1"/>
    </xf>
    <xf numFmtId="0" fontId="9" fillId="9" borderId="18" xfId="3" applyNumberFormat="1" applyFont="1" applyFill="1" applyBorder="1" applyAlignment="1">
      <alignment horizontal="left" vertical="center" wrapText="1"/>
    </xf>
    <xf numFmtId="0" fontId="9" fillId="9" borderId="5" xfId="3" applyNumberFormat="1" applyFont="1" applyFill="1" applyBorder="1" applyAlignment="1">
      <alignment horizontal="left" vertical="center" wrapText="1"/>
    </xf>
    <xf numFmtId="0" fontId="10" fillId="9" borderId="0" xfId="3" applyNumberFormat="1" applyFont="1" applyFill="1" applyBorder="1" applyAlignment="1">
      <alignment horizontal="center" vertical="center"/>
    </xf>
    <xf numFmtId="14" fontId="9" fillId="9" borderId="38" xfId="15" applyNumberFormat="1" applyFont="1" applyFill="1" applyBorder="1" applyAlignment="1">
      <alignment horizontal="center" vertical="center"/>
    </xf>
    <xf numFmtId="0" fontId="40" fillId="9" borderId="38" xfId="16" applyFont="1" applyFill="1" applyBorder="1" applyAlignment="1">
      <alignment horizontal="center" vertical="center"/>
    </xf>
    <xf numFmtId="0" fontId="41" fillId="9" borderId="38" xfId="16" applyFont="1" applyFill="1" applyBorder="1" applyAlignment="1">
      <alignment horizontal="center" vertical="center"/>
    </xf>
    <xf numFmtId="0" fontId="41" fillId="9" borderId="38" xfId="16" applyNumberFormat="1" applyFont="1" applyFill="1" applyBorder="1" applyAlignment="1">
      <alignment horizontal="center" vertical="center"/>
    </xf>
    <xf numFmtId="0" fontId="41" fillId="9" borderId="38" xfId="16" applyNumberFormat="1" applyFont="1" applyFill="1" applyBorder="1" applyAlignment="1">
      <alignment horizontal="center" vertical="center" wrapText="1"/>
    </xf>
    <xf numFmtId="0" fontId="41" fillId="9" borderId="38" xfId="16" applyFont="1" applyFill="1" applyBorder="1" applyAlignment="1">
      <alignment horizontal="left" vertical="center" wrapText="1"/>
    </xf>
    <xf numFmtId="0" fontId="41" fillId="9" borderId="38" xfId="16" applyFont="1" applyFill="1" applyBorder="1" applyAlignment="1">
      <alignment horizontal="center" vertical="center" wrapText="1"/>
    </xf>
    <xf numFmtId="177" fontId="9" fillId="9" borderId="35" xfId="15" applyNumberFormat="1" applyFont="1" applyFill="1" applyBorder="1" applyAlignment="1">
      <alignment horizontal="center" vertical="center"/>
    </xf>
    <xf numFmtId="177" fontId="9" fillId="9" borderId="36" xfId="15" applyNumberFormat="1" applyFont="1" applyFill="1" applyBorder="1" applyAlignment="1">
      <alignment horizontal="center" vertical="center"/>
    </xf>
    <xf numFmtId="0" fontId="9" fillId="0" borderId="35" xfId="15" applyNumberFormat="1" applyFont="1" applyFill="1" applyBorder="1" applyAlignment="1">
      <alignment horizontal="center" vertical="center"/>
    </xf>
    <xf numFmtId="0" fontId="9" fillId="0" borderId="37" xfId="15" applyNumberFormat="1" applyFont="1" applyFill="1" applyBorder="1" applyAlignment="1">
      <alignment horizontal="center" vertical="center"/>
    </xf>
    <xf numFmtId="0" fontId="9" fillId="0" borderId="36" xfId="15" applyNumberFormat="1" applyFont="1" applyFill="1" applyBorder="1" applyAlignment="1">
      <alignment horizontal="center" vertical="center"/>
    </xf>
    <xf numFmtId="0" fontId="22" fillId="0" borderId="0" xfId="21" applyNumberFormat="1" applyFont="1" applyAlignment="1">
      <alignment horizontal="center" vertical="center"/>
    </xf>
    <xf numFmtId="0" fontId="9" fillId="0" borderId="35" xfId="15" applyNumberFormat="1" applyFont="1" applyFill="1" applyBorder="1" applyAlignment="1" applyProtection="1">
      <alignment horizontal="center" vertical="center"/>
    </xf>
    <xf numFmtId="0" fontId="9" fillId="0" borderId="36" xfId="15" applyNumberFormat="1" applyFont="1" applyFill="1" applyBorder="1" applyAlignment="1" applyProtection="1">
      <alignment horizontal="center" vertical="center"/>
    </xf>
    <xf numFmtId="14" fontId="9" fillId="0" borderId="35" xfId="15" applyNumberFormat="1" applyFont="1" applyFill="1" applyBorder="1" applyAlignment="1" applyProtection="1">
      <alignment horizontal="center" vertical="center"/>
    </xf>
    <xf numFmtId="14" fontId="9" fillId="0" borderId="36" xfId="15" applyNumberFormat="1" applyFont="1" applyFill="1" applyBorder="1" applyAlignment="1" applyProtection="1">
      <alignment horizontal="center" vertical="center"/>
    </xf>
    <xf numFmtId="14" fontId="9" fillId="0" borderId="35" xfId="15" applyNumberFormat="1" applyFont="1" applyBorder="1" applyAlignment="1">
      <alignment horizontal="center" vertical="center"/>
    </xf>
    <xf numFmtId="14" fontId="9" fillId="0" borderId="37" xfId="15" applyNumberFormat="1" applyFont="1" applyBorder="1" applyAlignment="1">
      <alignment horizontal="center" vertical="center"/>
    </xf>
    <xf numFmtId="14" fontId="9" fillId="0" borderId="36" xfId="15" applyNumberFormat="1" applyFont="1" applyBorder="1" applyAlignment="1">
      <alignment horizontal="center" vertical="center"/>
    </xf>
    <xf numFmtId="0" fontId="9" fillId="0" borderId="35" xfId="15" applyNumberFormat="1" applyFont="1" applyBorder="1" applyAlignment="1">
      <alignment horizontal="center" vertical="center"/>
    </xf>
    <xf numFmtId="0" fontId="9" fillId="0" borderId="37" xfId="15" applyNumberFormat="1" applyFont="1" applyBorder="1" applyAlignment="1">
      <alignment horizontal="center" vertical="center"/>
    </xf>
    <xf numFmtId="0" fontId="9" fillId="0" borderId="36" xfId="15" applyNumberFormat="1" applyFont="1" applyBorder="1" applyAlignment="1">
      <alignment horizontal="center" vertical="center"/>
    </xf>
    <xf numFmtId="0" fontId="10" fillId="0" borderId="4" xfId="3" applyNumberFormat="1" applyFont="1" applyFill="1" applyBorder="1" applyAlignment="1">
      <alignment horizontal="center" vertical="center" wrapText="1"/>
    </xf>
    <xf numFmtId="0" fontId="10" fillId="0" borderId="5" xfId="3" applyNumberFormat="1" applyFont="1" applyFill="1" applyBorder="1" applyAlignment="1">
      <alignment horizontal="center" vertical="center" wrapText="1"/>
    </xf>
    <xf numFmtId="0" fontId="10" fillId="0" borderId="12" xfId="3" applyNumberFormat="1" applyFont="1" applyFill="1" applyBorder="1" applyAlignment="1">
      <alignment horizontal="center" vertical="center" wrapText="1"/>
    </xf>
    <xf numFmtId="0" fontId="10" fillId="4" borderId="4" xfId="3" applyNumberFormat="1" applyFont="1" applyFill="1" applyBorder="1" applyAlignment="1">
      <alignment horizontal="center" vertical="center" wrapText="1"/>
    </xf>
    <xf numFmtId="0" fontId="10" fillId="4" borderId="5" xfId="3" applyNumberFormat="1" applyFont="1" applyFill="1" applyBorder="1" applyAlignment="1">
      <alignment horizontal="center" vertical="center" wrapText="1"/>
    </xf>
    <xf numFmtId="0" fontId="10" fillId="4" borderId="12" xfId="3" applyNumberFormat="1" applyFont="1" applyFill="1" applyBorder="1" applyAlignment="1">
      <alignment horizontal="center" vertical="center" wrapText="1"/>
    </xf>
    <xf numFmtId="0" fontId="10" fillId="4" borderId="1" xfId="3" applyNumberFormat="1" applyFont="1" applyFill="1" applyBorder="1" applyAlignment="1">
      <alignment horizontal="center" vertical="center" wrapText="1"/>
    </xf>
    <xf numFmtId="0" fontId="19" fillId="3" borderId="1" xfId="0" applyNumberFormat="1" applyFont="1" applyFill="1" applyBorder="1" applyAlignment="1">
      <alignment horizontal="center" vertical="center" wrapText="1"/>
    </xf>
    <xf numFmtId="0" fontId="10" fillId="3" borderId="4" xfId="1" applyNumberFormat="1" applyFont="1" applyFill="1" applyBorder="1" applyAlignment="1">
      <alignment horizontal="center" vertical="center" wrapText="1"/>
    </xf>
    <xf numFmtId="0" fontId="10" fillId="3" borderId="5" xfId="1" applyNumberFormat="1" applyFont="1" applyFill="1" applyBorder="1" applyAlignment="1">
      <alignment horizontal="center" vertical="center" wrapText="1"/>
    </xf>
    <xf numFmtId="0" fontId="10" fillId="3" borderId="34" xfId="1" applyNumberFormat="1" applyFont="1" applyFill="1" applyBorder="1" applyAlignment="1">
      <alignment horizontal="center" vertical="center" wrapText="1"/>
    </xf>
    <xf numFmtId="0" fontId="14" fillId="0" borderId="5" xfId="16" applyNumberFormat="1" applyFont="1" applyFill="1" applyBorder="1" applyAlignment="1">
      <alignment horizontal="center" vertical="center" wrapText="1"/>
    </xf>
    <xf numFmtId="0" fontId="14" fillId="0" borderId="12" xfId="16" applyNumberFormat="1" applyFont="1" applyFill="1" applyBorder="1" applyAlignment="1">
      <alignment horizontal="center" vertical="center" wrapText="1"/>
    </xf>
    <xf numFmtId="0" fontId="14" fillId="7" borderId="35" xfId="16" applyNumberFormat="1" applyFont="1" applyFill="1" applyBorder="1" applyAlignment="1" applyProtection="1">
      <alignment horizontal="center" vertical="center" wrapText="1"/>
    </xf>
    <xf numFmtId="0" fontId="14" fillId="7" borderId="37" xfId="16" applyNumberFormat="1" applyFont="1" applyFill="1" applyBorder="1" applyAlignment="1" applyProtection="1">
      <alignment horizontal="center" vertical="center" wrapText="1"/>
    </xf>
    <xf numFmtId="0" fontId="14" fillId="0" borderId="35" xfId="16" applyNumberFormat="1" applyFont="1" applyFill="1" applyBorder="1" applyAlignment="1">
      <alignment horizontal="center" vertical="center" wrapText="1"/>
    </xf>
    <xf numFmtId="0" fontId="14" fillId="0" borderId="37" xfId="16" applyNumberFormat="1" applyFont="1" applyFill="1" applyBorder="1" applyAlignment="1">
      <alignment horizontal="center" vertical="center" wrapText="1"/>
    </xf>
    <xf numFmtId="0" fontId="14" fillId="0" borderId="36" xfId="16" applyNumberFormat="1" applyFont="1" applyFill="1" applyBorder="1" applyAlignment="1">
      <alignment horizontal="center" vertical="center" wrapText="1"/>
    </xf>
    <xf numFmtId="0" fontId="45" fillId="11" borderId="38" xfId="16" applyFont="1" applyFill="1" applyBorder="1" applyAlignment="1">
      <alignment horizontal="center" vertical="center"/>
    </xf>
  </cellXfs>
  <cellStyles count="25">
    <cellStyle name="쉼표 [0]" xfId="22" builtinId="6"/>
    <cellStyle name="쉼표 [0] 2" xfId="13"/>
    <cellStyle name="표준" xfId="0" builtinId="0"/>
    <cellStyle name="표준 109" xfId="1"/>
    <cellStyle name="표준 118" xfId="6"/>
    <cellStyle name="표준 12 10" xfId="8"/>
    <cellStyle name="표준 13 10" xfId="7"/>
    <cellStyle name="표준 14 4" xfId="12"/>
    <cellStyle name="표준 2" xfId="3"/>
    <cellStyle name="표준 2 177" xfId="5"/>
    <cellStyle name="표준 2 2" xfId="16"/>
    <cellStyle name="표준 2 2 2" xfId="19"/>
    <cellStyle name="표준 2 2 3" xfId="23"/>
    <cellStyle name="표준 2 44" xfId="24"/>
    <cellStyle name="표준 2 44 2" xfId="14"/>
    <cellStyle name="표준 3" xfId="15"/>
    <cellStyle name="표준 3 2" xfId="21"/>
    <cellStyle name="표준 33 17" xfId="9"/>
    <cellStyle name="표준 36 3" xfId="10"/>
    <cellStyle name="표준 4" xfId="18"/>
    <cellStyle name="표준 43 2" xfId="11"/>
    <cellStyle name="표준 5" xfId="20"/>
    <cellStyle name="하이퍼링크" xfId="4"/>
    <cellStyle name="하이퍼링크 103" xfId="2"/>
    <cellStyle name="하이퍼링크 2" xfId="17"/>
  </cellStyles>
  <dxfs count="1961">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font>
        <color rgb="FFBFBFBF"/>
      </font>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font>
        <color theme="0" tint="-0.24994659260841701"/>
      </font>
    </dxf>
    <dxf>
      <border>
        <bottom style="thin">
          <color auto="1"/>
        </bottom>
      </border>
    </dxf>
    <dxf>
      <font>
        <color theme="0" tint="-0.24994659260841701"/>
      </font>
    </dxf>
    <dxf>
      <border>
        <bottom style="thin">
          <color auto="1"/>
        </bottom>
      </border>
    </dxf>
    <dxf>
      <font>
        <color theme="0" tint="-0.24994659260841701"/>
      </font>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border>
        <bottom style="thin">
          <color auto="1"/>
        </bottom>
      </border>
    </dxf>
    <dxf>
      <font>
        <color theme="0" tint="-0.24994659260841701"/>
      </font>
    </dxf>
    <dxf>
      <border>
        <bottom style="thin">
          <color indexed="64"/>
        </bottom>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bottom style="thin">
          <color indexed="64"/>
        </bottom>
      </border>
    </dxf>
    <dxf>
      <border>
        <bottom style="thin">
          <color indexed="64"/>
        </bottom>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font>
        <color rgb="FFBFBFBF"/>
      </font>
    </dxf>
    <dxf>
      <border>
        <top style="thin">
          <color indexed="64"/>
        </top>
        <vertical/>
        <horizontal/>
      </border>
    </dxf>
    <dxf>
      <font>
        <color rgb="FFBFBFBF"/>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top style="thin">
          <color indexed="64"/>
        </top>
        <vertical/>
        <horizontal/>
      </border>
    </dxf>
    <dxf>
      <border>
        <bottom style="thin">
          <color indexed="64"/>
        </bottom>
      </border>
    </dxf>
    <dxf>
      <border>
        <bottom style="thin">
          <color indexed="64"/>
        </bottom>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font>
        <color rgb="FFBFBFBF"/>
      </font>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top style="thin">
          <color indexed="64"/>
        </top>
        <vertical/>
        <horizontal/>
      </border>
    </dxf>
    <dxf>
      <border>
        <top style="thin">
          <color indexed="64"/>
        </top>
        <vertical/>
        <horizontal/>
      </border>
    </dxf>
    <dxf>
      <border>
        <bottom style="thin">
          <color indexed="64"/>
        </bottom>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border>
        <bottom style="thin">
          <color indexed="64"/>
        </bottom>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top style="thin">
          <color indexed="64"/>
        </top>
        <vertical/>
        <horizontal/>
      </border>
    </dxf>
    <dxf>
      <border>
        <top style="thin">
          <color indexed="64"/>
        </top>
        <vertical/>
        <horizontal/>
      </border>
    </dxf>
    <dxf>
      <border>
        <bottom style="thin">
          <color indexed="64"/>
        </bottom>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bottom style="thin">
          <color indexed="64"/>
        </bottom>
      </border>
    </dxf>
    <dxf>
      <border>
        <bottom style="thin">
          <color indexed="64"/>
        </bottom>
      </border>
    </dxf>
    <dxf>
      <border>
        <bottom style="thin">
          <color indexed="64"/>
        </bottom>
      </border>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top style="thin">
          <color indexed="64"/>
        </top>
        <vertical/>
        <horizontal/>
      </border>
    </dxf>
    <dxf>
      <border>
        <top style="thin">
          <color indexed="64"/>
        </top>
        <vertical/>
        <horizontal/>
      </border>
    </dxf>
    <dxf>
      <border>
        <bottom style="thin">
          <color indexed="64"/>
        </bottom>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bottom style="thin">
          <color indexed="64"/>
        </bottom>
      </border>
    </dxf>
    <dxf>
      <border>
        <bottom style="thin">
          <color indexed="64"/>
        </bottom>
      </border>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bottom style="thin">
          <color indexed="64"/>
        </bottom>
      </border>
    </dxf>
    <dxf>
      <border>
        <bottom style="thin">
          <color indexed="64"/>
        </bottom>
      </border>
    </dxf>
    <dxf>
      <border>
        <bottom style="thin">
          <color indexed="64"/>
        </bottom>
      </border>
    </dxf>
    <dxf>
      <border>
        <top style="thin">
          <color indexed="64"/>
        </top>
        <vertical/>
        <horizontal/>
      </border>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bottom style="thin">
          <color indexed="64"/>
        </bottom>
      </border>
    </dxf>
    <dxf>
      <border>
        <bottom style="thin">
          <color indexed="64"/>
        </bottom>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border>
        <bottom style="thin">
          <color indexed="64"/>
        </bottom>
      </border>
    </dxf>
    <dxf>
      <border>
        <top style="thin">
          <color indexed="64"/>
        </top>
        <vertical/>
        <horizontal/>
      </border>
    </dxf>
    <dxf>
      <font>
        <color rgb="FFBFBFBF"/>
      </font>
    </dxf>
    <dxf>
      <font>
        <color rgb="FFBFBFBF"/>
      </font>
    </dxf>
    <dxf>
      <border>
        <bottom style="thin">
          <color indexed="64"/>
        </bottom>
      </border>
    </dxf>
    <dxf>
      <border>
        <bottom style="thin">
          <color indexed="64"/>
        </bottom>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bottom style="thin">
          <color indexed="64"/>
        </bottom>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bottom style="thin">
          <color indexed="64"/>
        </bottom>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bottom style="thin">
          <color indexed="64"/>
        </bottom>
      </border>
    </dxf>
    <dxf>
      <font>
        <color rgb="FFBFBFBF"/>
      </font>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font>
        <color rgb="FFBFBFBF"/>
      </font>
    </dxf>
    <dxf>
      <border>
        <bottom style="thin">
          <color indexed="64"/>
        </bottom>
      </border>
    </dxf>
    <dxf>
      <font>
        <color rgb="FFBFBFBF"/>
      </font>
    </dxf>
    <dxf>
      <border>
        <top style="thin">
          <color indexed="64"/>
        </top>
        <vertical/>
        <horizontal/>
      </border>
    </dxf>
    <dxf>
      <border>
        <top style="thin">
          <color indexed="64"/>
        </top>
        <vertical/>
        <horizontal/>
      </border>
    </dxf>
    <dxf>
      <font>
        <color rgb="FFBFBFBF"/>
      </font>
    </dxf>
    <dxf>
      <font>
        <color rgb="FFBFBFBF"/>
      </font>
    </dxf>
    <dxf>
      <border>
        <top style="thin">
          <color indexed="64"/>
        </top>
        <vertical/>
        <horizontal/>
      </border>
    </dxf>
    <dxf>
      <border>
        <bottom style="thin">
          <color indexed="64"/>
        </bottom>
      </border>
    </dxf>
    <dxf>
      <font>
        <color rgb="FFBFBFBF"/>
      </font>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bottom style="thin">
          <color indexed="64"/>
        </bottom>
      </border>
    </dxf>
    <dxf>
      <border>
        <bottom style="thin">
          <color indexed="64"/>
        </bottom>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font>
        <color rgb="FFBFBFBF"/>
      </font>
    </dxf>
    <dxf>
      <border>
        <bottom style="thin">
          <color indexed="64"/>
        </bottom>
      </border>
    </dxf>
    <dxf>
      <border>
        <top style="thin">
          <color indexed="64"/>
        </top>
        <vertical/>
        <horizontal/>
      </border>
    </dxf>
    <dxf>
      <border>
        <bottom style="thin">
          <color indexed="64"/>
        </bottom>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bottom style="thin">
          <color indexed="64"/>
        </bottom>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font>
        <color rgb="FFBFBFBF"/>
      </font>
    </dxf>
    <dxf>
      <border>
        <bottom style="thin">
          <color indexed="64"/>
        </bottom>
      </border>
    </dxf>
    <dxf>
      <border>
        <top style="thin">
          <color indexed="64"/>
        </top>
        <vertical/>
        <horizontal/>
      </border>
    </dxf>
    <dxf>
      <border>
        <bottom style="thin">
          <color indexed="64"/>
        </bottom>
      </border>
    </dxf>
    <dxf>
      <font>
        <color rgb="FFBFBFBF"/>
      </font>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bottom style="thin">
          <color indexed="64"/>
        </bottom>
      </border>
    </dxf>
    <dxf>
      <border>
        <top style="thin">
          <color indexed="64"/>
        </top>
        <vertical/>
        <horizontal/>
      </border>
    </dxf>
    <dxf>
      <border>
        <bottom style="thin">
          <color indexed="64"/>
        </bottom>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bottom style="thin">
          <color indexed="64"/>
        </bottom>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bottom style="thin">
          <color indexed="64"/>
        </bottom>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bottom style="thin">
          <color indexed="64"/>
        </bottom>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bottom style="thin">
          <color indexed="64"/>
        </bottom>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bottom style="thin">
          <color indexed="64"/>
        </bottom>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rgb="FFBFBFBF"/>
      </font>
    </dxf>
    <dxf>
      <border>
        <top style="thin">
          <color indexed="64"/>
        </top>
        <vertical/>
        <horizontal/>
      </border>
    </dxf>
    <dxf>
      <font>
        <color rgb="FFBFBFBF"/>
      </font>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rgb="FFBFBFBF"/>
      </font>
    </dxf>
    <dxf>
      <border>
        <top style="thin">
          <color indexed="64"/>
        </top>
        <vertical/>
        <horizontal/>
      </border>
    </dxf>
    <dxf>
      <font>
        <color rgb="FFBFBFBF"/>
      </font>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rgb="FFBFBFBF"/>
      </font>
    </dxf>
    <dxf>
      <border>
        <top style="thin">
          <color indexed="64"/>
        </top>
        <vertical/>
        <horizontal/>
      </border>
    </dxf>
    <dxf>
      <font>
        <color rgb="FFBFBFBF"/>
      </font>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rgb="FFBFBFBF"/>
      </font>
    </dxf>
    <dxf>
      <border>
        <top style="thin">
          <color indexed="64"/>
        </top>
        <vertical/>
        <horizontal/>
      </border>
    </dxf>
    <dxf>
      <font>
        <color rgb="FFBFBFBF"/>
      </font>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rgb="FFBFBFBF"/>
      </font>
    </dxf>
    <dxf>
      <border>
        <top style="thin">
          <color indexed="64"/>
        </top>
        <vertical/>
        <horizontal/>
      </border>
    </dxf>
    <dxf>
      <font>
        <color rgb="FFBFBFBF"/>
      </font>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rgb="FFBFBFBF"/>
      </font>
    </dxf>
    <dxf>
      <border>
        <top style="thin">
          <color indexed="64"/>
        </top>
        <vertical/>
        <horizontal/>
      </border>
    </dxf>
    <dxf>
      <font>
        <color rgb="FFBFBFBF"/>
      </font>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bottom style="thin">
          <color indexed="64"/>
        </bottom>
      </border>
    </dxf>
    <dxf>
      <font>
        <color rgb="FFBFBFBF"/>
      </font>
    </dxf>
    <dxf>
      <border>
        <top style="thin">
          <color indexed="64"/>
        </top>
        <vertical/>
        <horizontal/>
      </border>
    </dxf>
    <dxf>
      <font>
        <color rgb="FFBFBFBF"/>
      </font>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rgb="FFBFBFBF"/>
      </font>
    </dxf>
    <dxf>
      <border>
        <top style="thin">
          <color indexed="64"/>
        </top>
        <vertical/>
        <horizontal/>
      </border>
    </dxf>
    <dxf>
      <border>
        <bottom style="thin">
          <color indexed="64"/>
        </bottom>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top style="thin">
          <color indexed="64"/>
        </top>
        <vertical/>
        <horizontal/>
      </border>
    </dxf>
    <dxf>
      <font>
        <color rgb="FFBFBFBF"/>
      </font>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font>
        <color rgb="FFBFBFBF"/>
      </font>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rgb="FFBFBFBF"/>
      </font>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rgb="FFBFBFBF"/>
      </font>
    </dxf>
    <dxf>
      <border>
        <top style="thin">
          <color indexed="64"/>
        </top>
        <vertical/>
        <horizontal/>
      </border>
    </dxf>
    <dxf>
      <border>
        <bottom style="thin">
          <color indexed="64"/>
        </bottom>
      </border>
    </dxf>
    <dxf>
      <border>
        <bottom style="thin">
          <color indexed="64"/>
        </bottom>
      </border>
    </dxf>
    <dxf>
      <font>
        <color rgb="FFBFBFBF"/>
      </font>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rgb="FFBFBFBF"/>
      </font>
    </dxf>
    <dxf>
      <border>
        <top style="thin">
          <color indexed="64"/>
        </top>
        <vertical/>
        <horizontal/>
      </border>
    </dxf>
    <dxf>
      <font>
        <color rgb="FFBFBFBF"/>
      </font>
    </dxf>
    <dxf>
      <border>
        <top style="thin">
          <color indexed="64"/>
        </top>
        <vertical/>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font>
        <color rgb="FFBFBFBF"/>
      </font>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bottom style="thin">
          <color indexed="64"/>
        </bottom>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
      <border>
        <top style="thin">
          <color indexed="64"/>
        </top>
        <vertical/>
        <horizontal/>
      </border>
    </dxf>
    <dxf>
      <border>
        <top style="thin">
          <color indexed="64"/>
        </top>
        <vertical/>
        <horizontal/>
      </border>
    </dxf>
    <dxf>
      <font>
        <color rgb="FFBFBFBF"/>
      </font>
    </dxf>
    <dxf>
      <border>
        <top style="thin">
          <color indexed="64"/>
        </top>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123824</xdr:colOff>
      <xdr:row>35</xdr:row>
      <xdr:rowOff>133350</xdr:rowOff>
    </xdr:from>
    <xdr:to>
      <xdr:col>2</xdr:col>
      <xdr:colOff>752475</xdr:colOff>
      <xdr:row>38</xdr:row>
      <xdr:rowOff>0</xdr:rowOff>
    </xdr:to>
    <xdr:pic>
      <xdr:nvPicPr>
        <xdr:cNvPr id="2" name="그림 3" descr="설명: 설명: KRX Logo"/>
        <xdr:cNvPicPr>
          <a:picLocks noChangeAspect="1" noChangeArrowheads="1"/>
        </xdr:cNvPicPr>
      </xdr:nvPicPr>
      <xdr:blipFill rotWithShape="1">
        <a:blip xmlns:r="http://schemas.openxmlformats.org/officeDocument/2006/relationships" r:embed="rId1"/>
        <a:srcRect/>
        <a:stretch>
          <a:fillRect/>
        </a:stretch>
      </xdr:blipFill>
      <xdr:spPr>
        <a:xfrm>
          <a:off x="123264" y="7586382"/>
          <a:ext cx="2599764" cy="504264"/>
        </a:xfrm>
        <a:prstGeom prst="rect">
          <a:avLst/>
        </a:prstGeom>
        <a:noFill/>
        <a:ln w="9525">
          <a:noFill/>
          <a:miter/>
        </a:ln>
      </xdr:spPr>
    </xdr:pic>
    <xdr:clientData/>
  </xdr:twoCellAnchor>
  <xdr:twoCellAnchor>
    <xdr:from>
      <xdr:col>10</xdr:col>
      <xdr:colOff>333375</xdr:colOff>
      <xdr:row>35</xdr:row>
      <xdr:rowOff>142875</xdr:rowOff>
    </xdr:from>
    <xdr:to>
      <xdr:col>12</xdr:col>
      <xdr:colOff>428625</xdr:colOff>
      <xdr:row>37</xdr:row>
      <xdr:rowOff>142875</xdr:rowOff>
    </xdr:to>
    <xdr:pic>
      <xdr:nvPicPr>
        <xdr:cNvPr id="3" name="그림 1" descr="설명: 설명: 영문슬로건.png"/>
        <xdr:cNvPicPr>
          <a:picLocks noChangeAspect="1" noChangeArrowheads="1"/>
        </xdr:cNvPicPr>
      </xdr:nvPicPr>
      <xdr:blipFill rotWithShape="1">
        <a:blip xmlns:r="http://schemas.openxmlformats.org/officeDocument/2006/relationships" r:embed="rId2"/>
        <a:srcRect/>
        <a:stretch>
          <a:fillRect/>
        </a:stretch>
      </xdr:blipFill>
      <xdr:spPr>
        <a:xfrm>
          <a:off x="10197353" y="7597588"/>
          <a:ext cx="2061882" cy="425823"/>
        </a:xfrm>
        <a:prstGeom prst="rect">
          <a:avLst/>
        </a:prstGeom>
        <a:noFill/>
        <a:ln w="9525">
          <a:noFill/>
          <a:miter/>
        </a:ln>
      </xdr:spPr>
    </xdr:pic>
    <xdr:clientData/>
  </xdr:twoCellAnchor>
  <xdr:twoCellAnchor>
    <xdr:from>
      <xdr:col>0</xdr:col>
      <xdr:colOff>561975</xdr:colOff>
      <xdr:row>8</xdr:row>
      <xdr:rowOff>9525</xdr:rowOff>
    </xdr:from>
    <xdr:to>
      <xdr:col>12</xdr:col>
      <xdr:colOff>638175</xdr:colOff>
      <xdr:row>8</xdr:row>
      <xdr:rowOff>9525</xdr:rowOff>
    </xdr:to>
    <xdr:cxnSp macro="">
      <xdr:nvCxnSpPr>
        <xdr:cNvPr id="4" name="직선 연결선 3"/>
        <xdr:cNvCxnSpPr/>
      </xdr:nvCxnSpPr>
      <xdr:spPr>
        <a:xfrm rot="10800000">
          <a:off x="560294" y="1714500"/>
          <a:ext cx="11911853" cy="0"/>
        </a:xfrm>
        <a:prstGeom prst="line">
          <a:avLst/>
        </a:prstGeom>
        <a:ln w="25400">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847725</xdr:colOff>
      <xdr:row>2</xdr:row>
      <xdr:rowOff>19050</xdr:rowOff>
    </xdr:from>
    <xdr:to>
      <xdr:col>12</xdr:col>
      <xdr:colOff>457200</xdr:colOff>
      <xdr:row>7</xdr:row>
      <xdr:rowOff>152400</xdr:rowOff>
    </xdr:to>
    <xdr:sp macro="" textlink="">
      <xdr:nvSpPr>
        <xdr:cNvPr id="5" name="Text Box 3"/>
        <xdr:cNvSpPr txBox="1">
          <a:spLocks noRot="1" noChangeArrowheads="1"/>
        </xdr:cNvSpPr>
      </xdr:nvSpPr>
      <xdr:spPr>
        <a:xfrm>
          <a:off x="8740588" y="448235"/>
          <a:ext cx="3552264" cy="1200150"/>
        </a:xfrm>
        <a:prstGeom prst="rect">
          <a:avLst/>
        </a:prstGeom>
        <a:noFill/>
        <a:ln w="9525">
          <a:noFill/>
          <a:miter/>
        </a:ln>
      </xdr:spPr>
      <xdr:txBody>
        <a:bodyPr vertOverflow="clip" lIns="0" tIns="54610" rIns="64135" bIns="0">
          <a:spAutoFit/>
        </a:bodyPr>
        <a:lstStyle/>
        <a:p>
          <a:pPr algn="r">
            <a:lnSpc>
              <a:spcPct val="100000"/>
            </a:lnSpc>
          </a:pPr>
          <a:r>
            <a:rPr sz="2000" b="1">
              <a:solidFill>
                <a:srgbClr val="000000"/>
              </a:solidFill>
              <a:latin typeface="맑은 고딕"/>
              <a:ea typeface="맑은 고딕"/>
            </a:rPr>
            <a:t>차세대 시장시스템</a:t>
          </a:r>
          <a:r>
            <a:rPr sz="2000" b="1">
              <a:solidFill>
                <a:srgbClr val="000000"/>
              </a:solidFill>
              <a:latin typeface="돋움"/>
              <a:ea typeface="돋움"/>
            </a:rPr>
            <a:t> </a:t>
          </a:r>
          <a:r>
            <a:rPr sz="2000" b="1">
              <a:solidFill>
                <a:srgbClr val="000000"/>
              </a:solidFill>
              <a:latin typeface="맑은 고딕"/>
              <a:ea typeface="맑은 고딕"/>
            </a:rPr>
            <a:t> 개발</a:t>
          </a:r>
        </a:p>
        <a:p>
          <a:pPr algn="r">
            <a:lnSpc>
              <a:spcPct val="100000"/>
            </a:lnSpc>
          </a:pPr>
          <a:r>
            <a:rPr sz="2800" b="1">
              <a:solidFill>
                <a:srgbClr val="000000"/>
              </a:solidFill>
              <a:latin typeface="맑은 고딕"/>
              <a:ea typeface="맑은 고딕"/>
            </a:rPr>
            <a:t>접속표준서(정보분배)</a:t>
          </a:r>
        </a:p>
      </xdr:txBody>
    </xdr:sp>
    <xdr:clientData/>
  </xdr:twoCellAnchor>
  <xdr:twoCellAnchor>
    <xdr:from>
      <xdr:col>5</xdr:col>
      <xdr:colOff>333375</xdr:colOff>
      <xdr:row>26</xdr:row>
      <xdr:rowOff>123824</xdr:rowOff>
    </xdr:from>
    <xdr:to>
      <xdr:col>7</xdr:col>
      <xdr:colOff>381000</xdr:colOff>
      <xdr:row>30</xdr:row>
      <xdr:rowOff>66675</xdr:rowOff>
    </xdr:to>
    <xdr:sp macro="" textlink="">
      <xdr:nvSpPr>
        <xdr:cNvPr id="8" name="텍스트 개체 틀 7"/>
        <xdr:cNvSpPr>
          <a:spLocks noGrp="1" noRot="1"/>
        </xdr:cNvSpPr>
      </xdr:nvSpPr>
      <xdr:spPr>
        <a:xfrm>
          <a:off x="5266764" y="5658970"/>
          <a:ext cx="2017058" cy="800100"/>
        </a:xfrm>
        <a:prstGeom prst="rect">
          <a:avLst/>
        </a:prstGeom>
        <a:solidFill>
          <a:schemeClr val="bg1"/>
        </a:solidFill>
      </xdr:spPr>
      <xdr:txBody>
        <a:bodyPr vertOverflow="clip" lIns="0" tIns="0" rIns="0" bIns="0" anchor="ctr">
          <a:spAutoFit/>
        </a:bodyPr>
        <a:lstStyle/>
        <a:p>
          <a:pPr algn="r">
            <a:lnSpc>
              <a:spcPct val="100000"/>
            </a:lnSpc>
          </a:pPr>
          <a:r>
            <a:rPr sz="2600" b="1">
              <a:solidFill>
                <a:srgbClr val="000099"/>
              </a:solidFill>
              <a:latin typeface="맑은 고딕"/>
              <a:ea typeface="맑은 고딕"/>
            </a:rPr>
            <a:t>2022. 03. 10</a:t>
          </a:r>
        </a:p>
      </xdr:txBody>
    </xdr:sp>
    <xdr:clientData/>
  </xdr:twoCellAnchor>
  <xdr:twoCellAnchor editAs="oneCell">
    <xdr:from>
      <xdr:col>0</xdr:col>
      <xdr:colOff>0</xdr:colOff>
      <xdr:row>0</xdr:row>
      <xdr:rowOff>0</xdr:rowOff>
    </xdr:from>
    <xdr:to>
      <xdr:col>13</xdr:col>
      <xdr:colOff>0</xdr:colOff>
      <xdr:row>42</xdr:row>
      <xdr:rowOff>114302</xdr:rowOff>
    </xdr:to>
    <xdr:pic>
      <xdr:nvPicPr>
        <xdr:cNvPr id="7" name="그림 6"/>
        <xdr:cNvPicPr>
          <a:picLocks noChangeAspect="1"/>
        </xdr:cNvPicPr>
      </xdr:nvPicPr>
      <xdr:blipFill>
        <a:blip xmlns:r="http://schemas.openxmlformats.org/officeDocument/2006/relationships" r:embed="rId3"/>
        <a:stretch>
          <a:fillRect/>
        </a:stretch>
      </xdr:blipFill>
      <xdr:spPr>
        <a:xfrm>
          <a:off x="0" y="0"/>
          <a:ext cx="12877800" cy="891540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3.&#47588;&#47588;&#52404;&#44208;/15.&#53580;&#49828;&#53944;&#52992;&#51060;&#49828;/&#53580;&#49828;&#53944;&#45936;&#51060;&#53552;/&#47588;&#52845;&#50644;&#51652;/&#52292;&#44428;/REPO/RPO.003.Validation.&#51333;&#47448;&#47588;&#49688;.&#47588;&#49688;&#48512;&#48516;&#52404;&#4420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템플릿 사용 유의사항"/>
      <sheetName val="입력전문_Repo"/>
      <sheetName val="출력전문"/>
      <sheetName val="항목별참고값"/>
      <sheetName val="ME결과변경정보설정"/>
    </sheetNames>
    <sheetDataSet>
      <sheetData sheetId="0"/>
      <sheetData sheetId="1"/>
      <sheetData sheetId="2"/>
      <sheetData sheetId="3">
        <row r="2">
          <cell r="A2" t="str">
            <v>TTRMKT10001</v>
          </cell>
          <cell r="C2" t="str">
            <v>STK</v>
          </cell>
          <cell r="D2" t="str">
            <v>G1</v>
          </cell>
          <cell r="E2" t="str">
            <v>STK</v>
          </cell>
          <cell r="F2" t="str">
            <v>AA1</v>
          </cell>
          <cell r="I2" t="str">
            <v>I</v>
          </cell>
          <cell r="J2" t="str">
            <v>DA</v>
          </cell>
          <cell r="K2" t="str">
            <v>BH</v>
          </cell>
          <cell r="L2" t="str">
            <v>O</v>
          </cell>
          <cell r="M2" t="str">
            <v>BS</v>
          </cell>
          <cell r="N2" t="str">
            <v>00</v>
          </cell>
          <cell r="O2" t="str">
            <v>KRSTKST</v>
          </cell>
          <cell r="P2" t="str">
            <v>1</v>
          </cell>
          <cell r="R2" t="str">
            <v>0</v>
          </cell>
          <cell r="S2" t="str">
            <v>1</v>
          </cell>
          <cell r="T2" t="str">
            <v>1</v>
          </cell>
          <cell r="U2" t="str">
            <v>1</v>
          </cell>
          <cell r="V2" t="str">
            <v>1</v>
          </cell>
          <cell r="W2" t="str">
            <v>0</v>
          </cell>
          <cell r="X2" t="str">
            <v>10</v>
          </cell>
          <cell r="Y2" t="str">
            <v>00</v>
          </cell>
          <cell r="Z2" t="str">
            <v>1000</v>
          </cell>
          <cell r="AA2" t="str">
            <v>20130226</v>
          </cell>
          <cell r="AB2" t="str">
            <v>1</v>
          </cell>
          <cell r="AC2" t="str">
            <v>1</v>
          </cell>
          <cell r="AD2" t="str">
            <v>0</v>
          </cell>
          <cell r="AE2" t="str">
            <v>Y</v>
          </cell>
          <cell r="AI2" t="str">
            <v>00</v>
          </cell>
          <cell r="AL2" t="str">
            <v>00</v>
          </cell>
          <cell r="AM2" t="str">
            <v>410</v>
          </cell>
          <cell r="AN2" t="str">
            <v>00</v>
          </cell>
          <cell r="AO2" t="str">
            <v>0</v>
          </cell>
          <cell r="AP2" t="str">
            <v>0</v>
          </cell>
          <cell r="AQ2" t="str">
            <v>GA</v>
          </cell>
        </row>
        <row r="3">
          <cell r="A3" t="str">
            <v>TGWODR10001</v>
          </cell>
          <cell r="C3" t="str">
            <v>KSQ</v>
          </cell>
          <cell r="D3" t="str">
            <v>G2</v>
          </cell>
          <cell r="E3" t="str">
            <v>KSQ</v>
          </cell>
          <cell r="F3" t="str">
            <v>AA2</v>
          </cell>
          <cell r="I3" t="str">
            <v>S</v>
          </cell>
          <cell r="J3" t="str">
            <v>GT</v>
          </cell>
          <cell r="K3" t="str">
            <v>FH</v>
          </cell>
          <cell r="L3" t="str">
            <v>C</v>
          </cell>
          <cell r="M3" t="str">
            <v>BE</v>
          </cell>
          <cell r="N3" t="str">
            <v>10</v>
          </cell>
          <cell r="O3" t="str">
            <v>KRSTKFS</v>
          </cell>
          <cell r="P3" t="str">
            <v>2</v>
          </cell>
          <cell r="R3" t="str">
            <v>1</v>
          </cell>
          <cell r="S3" t="str">
            <v>2</v>
          </cell>
          <cell r="T3" t="str">
            <v>2</v>
          </cell>
          <cell r="U3" t="str">
            <v>2</v>
          </cell>
          <cell r="V3" t="str">
            <v>2</v>
          </cell>
          <cell r="W3" t="str">
            <v>1</v>
          </cell>
          <cell r="X3" t="str">
            <v>30</v>
          </cell>
          <cell r="Y3" t="str">
            <v>01</v>
          </cell>
          <cell r="Z3" t="str">
            <v>2000</v>
          </cell>
          <cell r="AB3" t="str">
            <v>2</v>
          </cell>
          <cell r="AC3" t="str">
            <v>3</v>
          </cell>
          <cell r="AD3" t="str">
            <v>4</v>
          </cell>
          <cell r="AE3" t="str">
            <v>N</v>
          </cell>
          <cell r="AI3" t="str">
            <v>01</v>
          </cell>
          <cell r="AL3" t="str">
            <v>01</v>
          </cell>
          <cell r="AM3" t="str">
            <v>997</v>
          </cell>
          <cell r="AN3" t="str">
            <v>10</v>
          </cell>
          <cell r="AO3" t="str">
            <v>1</v>
          </cell>
          <cell r="AP3" t="str">
            <v>1</v>
          </cell>
          <cell r="AQ3" t="str">
            <v>SA</v>
          </cell>
        </row>
        <row r="4">
          <cell r="A4" t="str">
            <v>TGWODR10002</v>
          </cell>
          <cell r="C4" t="str">
            <v>DRV</v>
          </cell>
          <cell r="D4" t="str">
            <v>G3</v>
          </cell>
          <cell r="E4" t="str">
            <v>BND</v>
          </cell>
          <cell r="F4" t="str">
            <v>AB1</v>
          </cell>
          <cell r="J4" t="str">
            <v>RT</v>
          </cell>
          <cell r="K4" t="str">
            <v>IH</v>
          </cell>
          <cell r="M4" t="str">
            <v>SS</v>
          </cell>
          <cell r="N4" t="str">
            <v>11</v>
          </cell>
          <cell r="O4" t="str">
            <v>KRSTKDR</v>
          </cell>
          <cell r="P4" t="str">
            <v>3</v>
          </cell>
          <cell r="R4" t="str">
            <v>2</v>
          </cell>
          <cell r="T4" t="str">
            <v>3</v>
          </cell>
          <cell r="U4" t="str">
            <v>3</v>
          </cell>
          <cell r="V4" t="str">
            <v>3</v>
          </cell>
          <cell r="W4" t="str">
            <v>2</v>
          </cell>
          <cell r="X4" t="str">
            <v>31</v>
          </cell>
          <cell r="Y4" t="str">
            <v>02</v>
          </cell>
          <cell r="Z4" t="str">
            <v>3000</v>
          </cell>
          <cell r="AB4" t="str">
            <v>3</v>
          </cell>
          <cell r="AD4" t="str">
            <v>5</v>
          </cell>
          <cell r="AI4" t="str">
            <v>02</v>
          </cell>
          <cell r="AL4" t="str">
            <v>02</v>
          </cell>
          <cell r="AM4" t="str">
            <v>840</v>
          </cell>
          <cell r="AN4" t="str">
            <v>11</v>
          </cell>
          <cell r="AO4" t="str">
            <v>2</v>
          </cell>
          <cell r="AP4" t="str">
            <v>2</v>
          </cell>
          <cell r="AQ4" t="str">
            <v>CA</v>
          </cell>
        </row>
        <row r="5">
          <cell r="A5" t="str">
            <v>TGWODR10003</v>
          </cell>
          <cell r="C5" t="str">
            <v>BND</v>
          </cell>
          <cell r="D5" t="str">
            <v>G4</v>
          </cell>
          <cell r="E5" t="str">
            <v>KTS</v>
          </cell>
          <cell r="F5" t="str">
            <v>BB1</v>
          </cell>
          <cell r="J5" t="str">
            <v>RR</v>
          </cell>
          <cell r="K5" t="str">
            <v>SH</v>
          </cell>
          <cell r="M5" t="str">
            <v>SE</v>
          </cell>
          <cell r="N5" t="str">
            <v>20</v>
          </cell>
          <cell r="O5" t="str">
            <v>KRSTKMF</v>
          </cell>
          <cell r="P5" t="str">
            <v>4</v>
          </cell>
          <cell r="V5" t="str">
            <v>4</v>
          </cell>
          <cell r="W5" t="str">
            <v>3</v>
          </cell>
          <cell r="X5" t="str">
            <v>11</v>
          </cell>
          <cell r="Y5" t="str">
            <v>03</v>
          </cell>
          <cell r="Z5" t="str">
            <v>3100</v>
          </cell>
          <cell r="AB5" t="str">
            <v>4</v>
          </cell>
          <cell r="AI5" t="str">
            <v>06</v>
          </cell>
          <cell r="AL5" t="str">
            <v>10</v>
          </cell>
          <cell r="AN5" t="str">
            <v>12</v>
          </cell>
          <cell r="AP5" t="str">
            <v>3</v>
          </cell>
        </row>
        <row r="6">
          <cell r="A6" t="str">
            <v>TGWODR10004</v>
          </cell>
          <cell r="C6" t="str">
            <v>KTS</v>
          </cell>
          <cell r="D6" t="str">
            <v>G6</v>
          </cell>
          <cell r="E6" t="str">
            <v>SMB</v>
          </cell>
          <cell r="F6" t="str">
            <v>CD1</v>
          </cell>
          <cell r="J6" t="str">
            <v>EP</v>
          </cell>
          <cell r="M6" t="str">
            <v>SH</v>
          </cell>
          <cell r="N6" t="str">
            <v>21</v>
          </cell>
          <cell r="O6" t="str">
            <v>KRSTKIF</v>
          </cell>
          <cell r="P6" t="str">
            <v>5</v>
          </cell>
          <cell r="V6" t="str">
            <v>I</v>
          </cell>
          <cell r="W6" t="str">
            <v>4</v>
          </cell>
          <cell r="X6" t="str">
            <v>12</v>
          </cell>
          <cell r="Y6" t="str">
            <v>04</v>
          </cell>
          <cell r="Z6" t="str">
            <v>4000</v>
          </cell>
          <cell r="AB6" t="str">
            <v>8</v>
          </cell>
          <cell r="AL6" t="str">
            <v>11</v>
          </cell>
          <cell r="AN6" t="str">
            <v>20</v>
          </cell>
          <cell r="AP6" t="str">
            <v>4</v>
          </cell>
        </row>
        <row r="7">
          <cell r="A7" t="str">
            <v>TGWODR10005</v>
          </cell>
          <cell r="C7" t="str">
            <v>SMB</v>
          </cell>
          <cell r="D7" t="str">
            <v>G8</v>
          </cell>
          <cell r="E7" t="str">
            <v>RPO</v>
          </cell>
          <cell r="F7" t="str">
            <v>CD3</v>
          </cell>
          <cell r="J7" t="str">
            <v>OC</v>
          </cell>
          <cell r="M7" t="str">
            <v>SR</v>
          </cell>
          <cell r="N7" t="str">
            <v>25</v>
          </cell>
          <cell r="O7" t="str">
            <v>KRSTKRT</v>
          </cell>
          <cell r="P7" t="str">
            <v>6</v>
          </cell>
          <cell r="V7" t="str">
            <v>K</v>
          </cell>
          <cell r="W7" t="str">
            <v>5</v>
          </cell>
          <cell r="X7" t="str">
            <v>31</v>
          </cell>
          <cell r="Y7" t="str">
            <v>05</v>
          </cell>
          <cell r="Z7" t="str">
            <v>5000</v>
          </cell>
          <cell r="AB7" t="str">
            <v>9</v>
          </cell>
          <cell r="AL7" t="str">
            <v>12</v>
          </cell>
          <cell r="AN7" t="str">
            <v>21</v>
          </cell>
        </row>
        <row r="8">
          <cell r="C8" t="str">
            <v>RPO</v>
          </cell>
          <cell r="D8" t="str">
            <v>I1</v>
          </cell>
          <cell r="E8" t="str">
            <v>FKI</v>
          </cell>
          <cell r="F8" t="str">
            <v>DC1</v>
          </cell>
          <cell r="J8" t="str">
            <v>RS</v>
          </cell>
          <cell r="N8" t="str">
            <v>30</v>
          </cell>
          <cell r="O8" t="str">
            <v>KRSTKSC</v>
          </cell>
          <cell r="P8" t="str">
            <v>7</v>
          </cell>
          <cell r="V8" t="str">
            <v>P</v>
          </cell>
          <cell r="W8" t="str">
            <v>6</v>
          </cell>
          <cell r="X8" t="str">
            <v>32</v>
          </cell>
          <cell r="Y8" t="str">
            <v>06</v>
          </cell>
          <cell r="Z8" t="str">
            <v>6000</v>
          </cell>
          <cell r="AN8" t="str">
            <v>22</v>
          </cell>
        </row>
        <row r="9">
          <cell r="D9" t="str">
            <v>I2</v>
          </cell>
          <cell r="E9" t="str">
            <v>FSI</v>
          </cell>
          <cell r="F9" t="str">
            <v>DC2</v>
          </cell>
          <cell r="J9" t="str">
            <v>TR</v>
          </cell>
          <cell r="N9" t="str">
            <v>40</v>
          </cell>
          <cell r="O9" t="str">
            <v>KRSTKBC</v>
          </cell>
          <cell r="V9" t="str">
            <v>V</v>
          </cell>
          <cell r="W9" t="str">
            <v>7</v>
          </cell>
          <cell r="Y9" t="str">
            <v>07</v>
          </cell>
          <cell r="Z9" t="str">
            <v>7000</v>
          </cell>
        </row>
        <row r="10">
          <cell r="D10" t="str">
            <v>B1</v>
          </cell>
          <cell r="E10" t="str">
            <v>FST</v>
          </cell>
          <cell r="F10" t="str">
            <v>AB2</v>
          </cell>
          <cell r="J10" t="str">
            <v>UT</v>
          </cell>
          <cell r="N10" t="str">
            <v>50</v>
          </cell>
          <cell r="O10" t="str">
            <v>KRSTKEF</v>
          </cell>
          <cell r="V10" t="str">
            <v>X</v>
          </cell>
          <cell r="Y10" t="str">
            <v>08</v>
          </cell>
          <cell r="Z10" t="str">
            <v>7100</v>
          </cell>
        </row>
        <row r="11">
          <cell r="D11" t="str">
            <v>B2</v>
          </cell>
          <cell r="E11" t="str">
            <v>FB3</v>
          </cell>
          <cell r="F11" t="str">
            <v>AC1</v>
          </cell>
          <cell r="J11" t="str">
            <v>RE</v>
          </cell>
          <cell r="N11" t="str">
            <v>50</v>
          </cell>
          <cell r="O11" t="str">
            <v>KRSTKFE</v>
          </cell>
          <cell r="V11" t="str">
            <v>Y</v>
          </cell>
          <cell r="Y11" t="str">
            <v>09</v>
          </cell>
          <cell r="Z11" t="str">
            <v>8000</v>
          </cell>
        </row>
        <row r="12">
          <cell r="D12" t="str">
            <v>B3</v>
          </cell>
          <cell r="E12" t="str">
            <v>FB5</v>
          </cell>
          <cell r="F12" t="str">
            <v>BC1</v>
          </cell>
          <cell r="J12" t="str">
            <v>CZ</v>
          </cell>
          <cell r="N12" t="str">
            <v>51</v>
          </cell>
          <cell r="O12" t="str">
            <v>KRSTKSW</v>
          </cell>
          <cell r="Y12" t="str">
            <v>31</v>
          </cell>
        </row>
        <row r="13">
          <cell r="D13" t="str">
            <v>K1</v>
          </cell>
          <cell r="E13" t="str">
            <v>FBA</v>
          </cell>
          <cell r="F13" t="str">
            <v>CC1</v>
          </cell>
          <cell r="J13" t="str">
            <v>CV</v>
          </cell>
          <cell r="N13" t="str">
            <v>60</v>
          </cell>
          <cell r="O13" t="str">
            <v>KRSTKSR</v>
          </cell>
          <cell r="Y13" t="str">
            <v>32</v>
          </cell>
        </row>
        <row r="14">
          <cell r="D14" t="str">
            <v>K2</v>
          </cell>
          <cell r="E14" t="str">
            <v>FEU</v>
          </cell>
          <cell r="F14" t="str">
            <v>AC2</v>
          </cell>
          <cell r="J14" t="str">
            <v>BI</v>
          </cell>
          <cell r="N14" t="str">
            <v>65</v>
          </cell>
          <cell r="O14" t="str">
            <v>KRSTKEW</v>
          </cell>
          <cell r="Y14" t="str">
            <v>33</v>
          </cell>
        </row>
        <row r="15">
          <cell r="D15" t="str">
            <v>K3</v>
          </cell>
          <cell r="E15" t="str">
            <v>FYN</v>
          </cell>
          <cell r="F15" t="str">
            <v>AQ2</v>
          </cell>
          <cell r="J15" t="str">
            <v>PC</v>
          </cell>
          <cell r="N15" t="str">
            <v>70</v>
          </cell>
          <cell r="O15" t="str">
            <v>KRKSQST</v>
          </cell>
          <cell r="Y15" t="str">
            <v>41</v>
          </cell>
        </row>
        <row r="16">
          <cell r="D16" t="str">
            <v>N1</v>
          </cell>
          <cell r="E16" t="str">
            <v>FUD</v>
          </cell>
          <cell r="F16" t="str">
            <v>AD1</v>
          </cell>
          <cell r="J16" t="str">
            <v>AT</v>
          </cell>
          <cell r="N16" t="str">
            <v>80</v>
          </cell>
          <cell r="O16" t="str">
            <v>KRKSQFS</v>
          </cell>
          <cell r="Y16" t="str">
            <v>42</v>
          </cell>
        </row>
        <row r="17">
          <cell r="D17" t="str">
            <v>E1</v>
          </cell>
          <cell r="E17" t="str">
            <v>FGD</v>
          </cell>
          <cell r="F17" t="str">
            <v>AD2</v>
          </cell>
          <cell r="J17" t="str">
            <v>AR</v>
          </cell>
          <cell r="N17" t="str">
            <v>90</v>
          </cell>
          <cell r="O17" t="str">
            <v>KRKSQDR</v>
          </cell>
          <cell r="Y17" t="str">
            <v>51</v>
          </cell>
        </row>
        <row r="18">
          <cell r="D18" t="str">
            <v>F1</v>
          </cell>
          <cell r="E18" t="str">
            <v>FMG</v>
          </cell>
          <cell r="F18" t="str">
            <v>AD3</v>
          </cell>
          <cell r="J18" t="str">
            <v>BT</v>
          </cell>
          <cell r="N18" t="str">
            <v>99</v>
          </cell>
          <cell r="O18" t="str">
            <v>KRKSQMF</v>
          </cell>
          <cell r="Y18" t="str">
            <v>61</v>
          </cell>
        </row>
        <row r="19">
          <cell r="D19" t="str">
            <v>U2</v>
          </cell>
          <cell r="E19" t="str">
            <v>OK2</v>
          </cell>
          <cell r="F19" t="str">
            <v>AB1</v>
          </cell>
          <cell r="J19" t="str">
            <v>BR</v>
          </cell>
          <cell r="O19" t="str">
            <v>KRKSQSW</v>
          </cell>
          <cell r="Y19" t="str">
            <v>90</v>
          </cell>
        </row>
        <row r="20">
          <cell r="D20" t="str">
            <v>S1</v>
          </cell>
          <cell r="E20" t="str">
            <v>OST</v>
          </cell>
          <cell r="F20" t="str">
            <v>AB2</v>
          </cell>
          <cell r="J20" t="str">
            <v>PT</v>
          </cell>
          <cell r="O20" t="str">
            <v>KRKSQSR</v>
          </cell>
        </row>
        <row r="21">
          <cell r="D21" t="str">
            <v>SA</v>
          </cell>
          <cell r="E21" t="str">
            <v>OUD</v>
          </cell>
          <cell r="F21" t="str">
            <v>DB2</v>
          </cell>
          <cell r="J21" t="str">
            <v>PR</v>
          </cell>
          <cell r="O21" t="str">
            <v>KRDRVFUK2I</v>
          </cell>
        </row>
        <row r="22">
          <cell r="D22" t="str">
            <v>SB</v>
          </cell>
          <cell r="E22" t="str">
            <v>XUD</v>
          </cell>
          <cell r="F22" t="str">
            <v>AK1</v>
          </cell>
          <cell r="J22" t="str">
            <v>PP</v>
          </cell>
          <cell r="O22" t="str">
            <v>KRDRVFUSTI</v>
          </cell>
        </row>
        <row r="23">
          <cell r="D23" t="str">
            <v>R1</v>
          </cell>
          <cell r="E23" t="str">
            <v>FLH</v>
          </cell>
          <cell r="F23" t="str">
            <v>AJ4</v>
          </cell>
          <cell r="J23" t="str">
            <v>MC</v>
          </cell>
          <cell r="O23" t="str">
            <v>KRDRVFUS11</v>
          </cell>
        </row>
        <row r="24">
          <cell r="F24" t="str">
            <v>AR1</v>
          </cell>
          <cell r="J24" t="str">
            <v>CT</v>
          </cell>
          <cell r="O24" t="str">
            <v>KRDRVFUS12</v>
          </cell>
        </row>
        <row r="25">
          <cell r="F25" t="str">
            <v>AJ5</v>
          </cell>
          <cell r="O25" t="str">
            <v>KRDRVFUS13</v>
          </cell>
        </row>
        <row r="26">
          <cell r="F26" t="str">
            <v>AL2</v>
          </cell>
          <cell r="O26" t="str">
            <v>KRDRVFUS14</v>
          </cell>
        </row>
        <row r="27">
          <cell r="F27" t="str">
            <v>AM2</v>
          </cell>
          <cell r="O27" t="str">
            <v>KRDRVFUS15</v>
          </cell>
        </row>
        <row r="28">
          <cell r="F28" t="str">
            <v>AE8</v>
          </cell>
          <cell r="O28" t="str">
            <v>KRDRVFUS16</v>
          </cell>
        </row>
        <row r="29">
          <cell r="F29" t="str">
            <v>AE1</v>
          </cell>
          <cell r="O29" t="str">
            <v>KRDRVFUS18</v>
          </cell>
        </row>
        <row r="30">
          <cell r="F30" t="str">
            <v>BE1</v>
          </cell>
          <cell r="O30" t="str">
            <v>KRDRVFUS19</v>
          </cell>
        </row>
        <row r="31">
          <cell r="F31" t="str">
            <v>CE1</v>
          </cell>
          <cell r="O31" t="str">
            <v>KRDRVFUS21</v>
          </cell>
        </row>
        <row r="32">
          <cell r="F32" t="str">
            <v>AE2</v>
          </cell>
          <cell r="O32" t="str">
            <v>KRDRVFUS24</v>
          </cell>
        </row>
        <row r="33">
          <cell r="F33" t="str">
            <v>BE2</v>
          </cell>
          <cell r="O33" t="str">
            <v>KRDRVFUS26</v>
          </cell>
        </row>
        <row r="34">
          <cell r="F34" t="str">
            <v>AF8</v>
          </cell>
          <cell r="O34" t="str">
            <v>KRDRVFUS32</v>
          </cell>
        </row>
        <row r="35">
          <cell r="F35" t="str">
            <v>AF1</v>
          </cell>
          <cell r="O35" t="str">
            <v>KRDRVFUS36</v>
          </cell>
        </row>
        <row r="36">
          <cell r="F36" t="str">
            <v>BF1</v>
          </cell>
          <cell r="O36" t="str">
            <v>KRDRVFUS39</v>
          </cell>
        </row>
        <row r="37">
          <cell r="F37" t="str">
            <v>CF1</v>
          </cell>
          <cell r="O37" t="str">
            <v>KRDRVFUS40</v>
          </cell>
        </row>
        <row r="38">
          <cell r="F38" t="str">
            <v>AF2</v>
          </cell>
          <cell r="O38" t="str">
            <v>KRDRVFUS41</v>
          </cell>
        </row>
        <row r="39">
          <cell r="F39" t="str">
            <v>BF2</v>
          </cell>
          <cell r="O39" t="str">
            <v>KRDRVFUS44</v>
          </cell>
        </row>
        <row r="40">
          <cell r="F40" t="str">
            <v>AF9</v>
          </cell>
          <cell r="O40" t="str">
            <v>KRDRVFUS45</v>
          </cell>
        </row>
        <row r="41">
          <cell r="F41" t="str">
            <v>AG8</v>
          </cell>
          <cell r="O41" t="str">
            <v>KRDRVFUS46</v>
          </cell>
        </row>
        <row r="42">
          <cell r="F42" t="str">
            <v>AG1</v>
          </cell>
          <cell r="O42" t="str">
            <v>KRDRVFUS48</v>
          </cell>
        </row>
        <row r="43">
          <cell r="F43" t="str">
            <v>BG1</v>
          </cell>
          <cell r="O43" t="str">
            <v>KRDRVFUS49</v>
          </cell>
        </row>
        <row r="44">
          <cell r="F44" t="str">
            <v>CG1</v>
          </cell>
          <cell r="O44" t="str">
            <v>KRDRVFUS50</v>
          </cell>
        </row>
        <row r="45">
          <cell r="F45" t="str">
            <v>AG2</v>
          </cell>
          <cell r="O45" t="str">
            <v>KRDRVFUS51</v>
          </cell>
        </row>
        <row r="46">
          <cell r="F46" t="str">
            <v>BG2</v>
          </cell>
          <cell r="O46" t="str">
            <v>KRDRVFUS52</v>
          </cell>
        </row>
        <row r="47">
          <cell r="F47" t="str">
            <v>AG9</v>
          </cell>
          <cell r="O47" t="str">
            <v>KRDRVFUS54</v>
          </cell>
        </row>
        <row r="48">
          <cell r="F48" t="str">
            <v>BG9</v>
          </cell>
          <cell r="O48" t="str">
            <v>KRDRVFUBM3</v>
          </cell>
        </row>
        <row r="49">
          <cell r="F49" t="str">
            <v>AN8</v>
          </cell>
          <cell r="O49" t="str">
            <v>KRDRVFUBM5</v>
          </cell>
        </row>
        <row r="50">
          <cell r="F50" t="str">
            <v>AN9</v>
          </cell>
          <cell r="O50" t="str">
            <v>KRDRVFUBMA</v>
          </cell>
        </row>
        <row r="51">
          <cell r="F51" t="str">
            <v>AO8</v>
          </cell>
          <cell r="O51" t="str">
            <v>KRDRVFUEUR</v>
          </cell>
        </row>
        <row r="52">
          <cell r="F52" t="str">
            <v>AO9</v>
          </cell>
          <cell r="O52" t="str">
            <v>KRDRVFUJPY</v>
          </cell>
        </row>
        <row r="53">
          <cell r="F53" t="str">
            <v>EI8</v>
          </cell>
          <cell r="O53" t="str">
            <v>KRDRVFUUSD</v>
          </cell>
        </row>
        <row r="54">
          <cell r="F54" t="str">
            <v>EI1</v>
          </cell>
          <cell r="O54" t="str">
            <v>KRDRVFUGLD</v>
          </cell>
        </row>
        <row r="55">
          <cell r="F55" t="str">
            <v>EI2</v>
          </cell>
          <cell r="O55" t="str">
            <v>KRDRVFUMGD</v>
          </cell>
        </row>
        <row r="56">
          <cell r="F56" t="str">
            <v>EI9</v>
          </cell>
          <cell r="O56" t="str">
            <v>KRDRVFULHG</v>
          </cell>
        </row>
        <row r="57">
          <cell r="F57" t="str">
            <v>AL3</v>
          </cell>
          <cell r="O57" t="str">
            <v>KRDRVOPK2I</v>
          </cell>
        </row>
        <row r="58">
          <cell r="F58" t="str">
            <v>ALA</v>
          </cell>
          <cell r="O58" t="str">
            <v>KRDRVOPS11</v>
          </cell>
        </row>
        <row r="59">
          <cell r="F59" t="str">
            <v>ALB</v>
          </cell>
          <cell r="O59" t="str">
            <v>KRDRVOPS12</v>
          </cell>
        </row>
        <row r="60">
          <cell r="F60" t="str">
            <v>EH8</v>
          </cell>
          <cell r="O60" t="str">
            <v>KRDRVOPS13</v>
          </cell>
        </row>
        <row r="61">
          <cell r="F61" t="str">
            <v>EH9</v>
          </cell>
          <cell r="O61" t="str">
            <v>KRDRVOPS14</v>
          </cell>
        </row>
        <row r="62">
          <cell r="F62" t="str">
            <v>AF7</v>
          </cell>
          <cell r="O62" t="str">
            <v>KRDRVOPS15</v>
          </cell>
        </row>
        <row r="63">
          <cell r="F63" t="str">
            <v>AG6</v>
          </cell>
          <cell r="O63" t="str">
            <v>KRDRVOPS16</v>
          </cell>
        </row>
        <row r="64">
          <cell r="F64" t="str">
            <v>AG7</v>
          </cell>
          <cell r="O64" t="str">
            <v>KRDRVOPS17</v>
          </cell>
        </row>
        <row r="65">
          <cell r="F65" t="str">
            <v>AN6</v>
          </cell>
          <cell r="O65" t="str">
            <v>KRDRVOPS18</v>
          </cell>
        </row>
        <row r="66">
          <cell r="F66" t="str">
            <v>AN7</v>
          </cell>
          <cell r="O66" t="str">
            <v>KRDRVOPS19</v>
          </cell>
        </row>
        <row r="67">
          <cell r="F67" t="str">
            <v>AO6</v>
          </cell>
          <cell r="O67" t="str">
            <v>KRDRVOPS20</v>
          </cell>
        </row>
        <row r="68">
          <cell r="F68" t="str">
            <v>AO7</v>
          </cell>
          <cell r="O68" t="str">
            <v>KRDRVOPS21</v>
          </cell>
        </row>
        <row r="69">
          <cell r="F69" t="str">
            <v>AP2</v>
          </cell>
          <cell r="O69" t="str">
            <v>KRDRVOPS22</v>
          </cell>
        </row>
        <row r="70">
          <cell r="O70" t="str">
            <v>KRDRVOPS23</v>
          </cell>
        </row>
        <row r="71">
          <cell r="O71" t="str">
            <v>KRDRVOPS24</v>
          </cell>
        </row>
        <row r="72">
          <cell r="O72" t="str">
            <v>KRDRVOPS26</v>
          </cell>
        </row>
        <row r="73">
          <cell r="O73" t="str">
            <v>KRDRVOPS28</v>
          </cell>
        </row>
        <row r="74">
          <cell r="O74" t="str">
            <v>KRDRVOPS29</v>
          </cell>
        </row>
        <row r="75">
          <cell r="O75" t="str">
            <v>KRDRVOPS30</v>
          </cell>
        </row>
        <row r="76">
          <cell r="O76" t="str">
            <v>KRDRVOPS32</v>
          </cell>
        </row>
        <row r="77">
          <cell r="O77" t="str">
            <v>KRDRVOPS34</v>
          </cell>
        </row>
        <row r="78">
          <cell r="O78" t="str">
            <v>KRDRVOPS35</v>
          </cell>
        </row>
        <row r="79">
          <cell r="O79" t="str">
            <v>KRDRVOPS36</v>
          </cell>
        </row>
        <row r="80">
          <cell r="O80" t="str">
            <v>KRDRVOPS39</v>
          </cell>
        </row>
        <row r="81">
          <cell r="O81" t="str">
            <v>KRDRVOPS40</v>
          </cell>
        </row>
        <row r="82">
          <cell r="O82" t="str">
            <v>KRDRVOPS41</v>
          </cell>
        </row>
        <row r="83">
          <cell r="O83" t="str">
            <v>KRDRVOPS42</v>
          </cell>
        </row>
        <row r="84">
          <cell r="O84" t="str">
            <v>KRDRVOPS44</v>
          </cell>
        </row>
        <row r="85">
          <cell r="O85" t="str">
            <v>KRDRVOPS45</v>
          </cell>
        </row>
        <row r="86">
          <cell r="O86" t="str">
            <v>KRDRVOPS46</v>
          </cell>
        </row>
        <row r="87">
          <cell r="O87" t="str">
            <v>KRDRVOPS47</v>
          </cell>
        </row>
        <row r="88">
          <cell r="O88" t="str">
            <v>KRDRVOPS53</v>
          </cell>
        </row>
        <row r="89">
          <cell r="O89" t="str">
            <v>KRDRVOPS54</v>
          </cell>
        </row>
        <row r="90">
          <cell r="O90" t="str">
            <v>KRDRVOPS55</v>
          </cell>
        </row>
        <row r="91">
          <cell r="O91" t="str">
            <v>KRDRVOPUSD</v>
          </cell>
        </row>
        <row r="92">
          <cell r="O92" t="str">
            <v>KRDRVFXUSD</v>
          </cell>
        </row>
        <row r="93">
          <cell r="O93" t="str">
            <v>KRBNDBN</v>
          </cell>
        </row>
        <row r="94">
          <cell r="O94" t="str">
            <v>KRBNDBNP</v>
          </cell>
        </row>
        <row r="95">
          <cell r="O95" t="str">
            <v>KRBNDBS</v>
          </cell>
        </row>
        <row r="96">
          <cell r="O96" t="str">
            <v>KRBNDBSP</v>
          </cell>
        </row>
        <row r="97">
          <cell r="O97" t="str">
            <v>KRKTSBN</v>
          </cell>
        </row>
        <row r="98">
          <cell r="O98" t="str">
            <v>KRSMBBN</v>
          </cell>
        </row>
        <row r="99">
          <cell r="O99" t="str">
            <v>KRRPORB</v>
          </cell>
        </row>
      </sheetData>
      <sheetData sheetId="4"/>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21474836470000000000"/>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21474836470000000000"/>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a:ln>
        <a:ln w="12700" cap="flat" cmpd="sng" algn="ctr">
          <a:solidFill>
            <a:schemeClr val="phClr"/>
          </a:solidFill>
          <a:prstDash val="solid"/>
          <a:miter/>
        </a:ln>
        <a:ln w="19050" cap="flat" cmpd="sng" algn="ctr">
          <a:solidFill>
            <a:schemeClr val="phClr"/>
          </a:solidFill>
          <a:prstDash val="solid"/>
          <a:miter/>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M39"/>
  <sheetViews>
    <sheetView showGridLines="0" tabSelected="1" view="pageBreakPreview" zoomScaleNormal="100" zoomScaleSheetLayoutView="100" workbookViewId="0"/>
  </sheetViews>
  <sheetFormatPr defaultColWidth="9" defaultRowHeight="16.5"/>
  <cols>
    <col min="1" max="13" width="13" style="2" customWidth="1"/>
    <col min="14" max="16384" width="9" style="2"/>
  </cols>
  <sheetData>
    <row r="1" spans="1:13">
      <c r="A1" s="1"/>
      <c r="B1" s="1"/>
      <c r="C1" s="1"/>
      <c r="D1" s="1"/>
      <c r="E1" s="1"/>
      <c r="F1" s="1"/>
      <c r="G1" s="1"/>
      <c r="H1" s="1"/>
      <c r="I1" s="1"/>
      <c r="J1" s="1"/>
      <c r="K1" s="1"/>
      <c r="L1" s="1"/>
      <c r="M1" s="1"/>
    </row>
    <row r="2" spans="1:13">
      <c r="A2" s="1"/>
      <c r="B2" s="1"/>
      <c r="C2" s="1"/>
      <c r="D2" s="1"/>
      <c r="E2" s="1"/>
      <c r="F2" s="1"/>
      <c r="G2" s="1"/>
      <c r="H2" s="1"/>
      <c r="I2" s="1"/>
      <c r="J2" s="1"/>
      <c r="K2" s="1"/>
      <c r="L2" s="1"/>
      <c r="M2" s="1"/>
    </row>
    <row r="3" spans="1:13">
      <c r="A3" s="1"/>
      <c r="B3" s="1"/>
      <c r="C3" s="1"/>
      <c r="D3" s="1"/>
      <c r="E3" s="1"/>
      <c r="F3" s="1"/>
      <c r="G3" s="1"/>
      <c r="H3" s="1"/>
      <c r="I3" s="1"/>
      <c r="J3" s="1"/>
      <c r="K3" s="1"/>
      <c r="L3" s="1"/>
      <c r="M3" s="1"/>
    </row>
    <row r="4" spans="1:13">
      <c r="A4" s="1"/>
      <c r="B4" s="1"/>
      <c r="C4" s="1"/>
      <c r="D4" s="1"/>
      <c r="E4" s="1"/>
      <c r="F4" s="1"/>
      <c r="G4" s="1"/>
      <c r="H4" s="1"/>
      <c r="I4" s="1"/>
      <c r="J4" s="1"/>
      <c r="K4" s="1"/>
      <c r="L4" s="1"/>
      <c r="M4" s="1"/>
    </row>
    <row r="5" spans="1:13">
      <c r="A5" s="1"/>
      <c r="B5" s="1"/>
      <c r="C5" s="1"/>
      <c r="D5" s="1"/>
      <c r="E5" s="1"/>
      <c r="F5" s="1"/>
      <c r="G5" s="1"/>
      <c r="H5" s="1"/>
      <c r="I5" s="1"/>
      <c r="J5" s="1"/>
      <c r="K5" s="1"/>
      <c r="L5" s="1"/>
      <c r="M5" s="1"/>
    </row>
    <row r="6" spans="1:13">
      <c r="A6" s="1"/>
      <c r="B6" s="1"/>
      <c r="C6" s="1"/>
      <c r="D6" s="1"/>
      <c r="E6" s="1"/>
      <c r="F6" s="1"/>
      <c r="G6" s="1"/>
      <c r="H6" s="1"/>
      <c r="I6" s="1"/>
      <c r="J6" s="1"/>
      <c r="K6" s="1"/>
      <c r="L6" s="1"/>
      <c r="M6" s="1"/>
    </row>
    <row r="7" spans="1:13">
      <c r="A7" s="1"/>
      <c r="B7" s="1"/>
      <c r="C7" s="1"/>
      <c r="D7" s="1"/>
      <c r="E7" s="1"/>
      <c r="F7" s="1"/>
      <c r="G7" s="1"/>
      <c r="H7" s="1"/>
      <c r="I7" s="1"/>
      <c r="J7" s="1"/>
      <c r="K7" s="1"/>
      <c r="L7" s="1"/>
      <c r="M7" s="1"/>
    </row>
    <row r="8" spans="1:13">
      <c r="A8" s="60"/>
      <c r="B8" s="61"/>
      <c r="C8" s="61"/>
      <c r="D8" s="61"/>
      <c r="E8" s="61"/>
      <c r="F8" s="61"/>
      <c r="G8" s="61"/>
      <c r="H8" s="61"/>
      <c r="I8" s="61"/>
      <c r="J8" s="61"/>
      <c r="K8" s="61"/>
      <c r="L8" s="61"/>
      <c r="M8" s="61"/>
    </row>
    <row r="9" spans="1:13">
      <c r="A9" s="62"/>
      <c r="B9" s="63"/>
      <c r="C9" s="63"/>
      <c r="D9" s="63"/>
      <c r="E9" s="63"/>
      <c r="F9" s="63"/>
      <c r="G9" s="63"/>
      <c r="H9" s="63"/>
      <c r="I9" s="63"/>
      <c r="J9" s="63"/>
      <c r="K9" s="63"/>
      <c r="L9" s="63"/>
      <c r="M9" s="63"/>
    </row>
    <row r="10" spans="1:13">
      <c r="A10" s="62"/>
      <c r="B10" s="63"/>
      <c r="C10" s="63"/>
      <c r="D10" s="63"/>
      <c r="E10" s="63"/>
      <c r="F10" s="63"/>
      <c r="G10" s="63"/>
      <c r="H10" s="63"/>
      <c r="I10" s="63"/>
      <c r="J10" s="63"/>
      <c r="K10" s="63"/>
      <c r="L10" s="63"/>
      <c r="M10" s="63"/>
    </row>
    <row r="11" spans="1:13">
      <c r="A11" s="62"/>
      <c r="B11" s="63"/>
      <c r="C11" s="63"/>
      <c r="D11" s="63"/>
      <c r="E11" s="63"/>
      <c r="F11" s="63"/>
      <c r="G11" s="63"/>
      <c r="H11" s="63"/>
      <c r="I11" s="63"/>
      <c r="J11" s="63"/>
      <c r="K11" s="63"/>
      <c r="L11" s="63"/>
      <c r="M11" s="63"/>
    </row>
    <row r="12" spans="1:13">
      <c r="A12" s="62"/>
      <c r="B12" s="63"/>
      <c r="C12" s="63"/>
      <c r="D12" s="63"/>
      <c r="E12" s="63"/>
      <c r="F12" s="63"/>
      <c r="G12" s="63"/>
      <c r="H12" s="63"/>
      <c r="I12" s="63"/>
      <c r="J12" s="63"/>
      <c r="K12" s="63"/>
      <c r="L12" s="63"/>
      <c r="M12" s="63"/>
    </row>
    <row r="13" spans="1:13">
      <c r="A13" s="62"/>
      <c r="B13" s="63"/>
      <c r="C13" s="63"/>
      <c r="D13" s="63"/>
      <c r="E13" s="63"/>
      <c r="F13" s="63"/>
      <c r="G13" s="63"/>
      <c r="H13" s="63"/>
      <c r="I13" s="63"/>
      <c r="J13" s="63"/>
      <c r="K13" s="63"/>
      <c r="L13" s="63"/>
      <c r="M13" s="63"/>
    </row>
    <row r="14" spans="1:13">
      <c r="A14" s="62"/>
      <c r="B14" s="63"/>
      <c r="C14" s="63"/>
      <c r="D14" s="63"/>
      <c r="E14" s="63"/>
      <c r="F14" s="63"/>
      <c r="G14" s="63"/>
      <c r="H14" s="63"/>
      <c r="I14" s="63"/>
      <c r="J14" s="63"/>
      <c r="K14" s="63"/>
      <c r="L14" s="63"/>
      <c r="M14" s="63"/>
    </row>
    <row r="15" spans="1:13">
      <c r="A15" s="62"/>
      <c r="B15" s="63"/>
      <c r="C15" s="63"/>
      <c r="D15" s="63"/>
      <c r="E15" s="63"/>
      <c r="F15" s="63"/>
      <c r="G15" s="63"/>
      <c r="H15" s="63"/>
      <c r="I15" s="63"/>
      <c r="J15" s="63"/>
      <c r="K15" s="63"/>
      <c r="L15" s="63"/>
      <c r="M15" s="63"/>
    </row>
    <row r="16" spans="1:13">
      <c r="A16" s="62"/>
      <c r="B16" s="63"/>
      <c r="C16" s="63"/>
      <c r="D16" s="63"/>
      <c r="E16" s="63"/>
      <c r="F16" s="63"/>
      <c r="G16" s="63"/>
      <c r="H16" s="63"/>
      <c r="I16" s="63"/>
      <c r="J16" s="63"/>
      <c r="K16" s="63"/>
      <c r="L16" s="63"/>
      <c r="M16" s="63"/>
    </row>
    <row r="17" spans="1:13">
      <c r="A17" s="62"/>
      <c r="B17" s="63"/>
      <c r="C17" s="63"/>
      <c r="D17" s="63"/>
      <c r="E17" s="63"/>
      <c r="F17" s="63"/>
      <c r="G17" s="63"/>
      <c r="H17" s="63"/>
      <c r="I17" s="63"/>
      <c r="J17" s="63"/>
      <c r="K17" s="63"/>
      <c r="L17" s="63"/>
      <c r="M17" s="63"/>
    </row>
    <row r="18" spans="1:13">
      <c r="A18" s="62"/>
      <c r="B18" s="63"/>
      <c r="C18" s="63"/>
      <c r="D18" s="63"/>
      <c r="E18" s="63"/>
      <c r="F18" s="63"/>
      <c r="G18" s="63"/>
      <c r="H18" s="63"/>
      <c r="I18" s="63"/>
      <c r="J18" s="63"/>
      <c r="K18" s="63"/>
      <c r="L18" s="63"/>
      <c r="M18" s="63"/>
    </row>
    <row r="19" spans="1:13">
      <c r="A19" s="62"/>
      <c r="B19" s="63"/>
      <c r="C19" s="63"/>
      <c r="D19" s="63"/>
      <c r="E19" s="63"/>
      <c r="F19" s="63"/>
      <c r="G19" s="63"/>
      <c r="H19" s="63"/>
      <c r="I19" s="63"/>
      <c r="J19" s="63"/>
      <c r="K19" s="63"/>
      <c r="L19" s="63"/>
      <c r="M19" s="63"/>
    </row>
    <row r="20" spans="1:13">
      <c r="A20" s="62"/>
      <c r="B20" s="63"/>
      <c r="C20" s="63"/>
      <c r="D20" s="63"/>
      <c r="E20" s="63"/>
      <c r="F20" s="63"/>
      <c r="G20" s="63"/>
      <c r="H20" s="63"/>
      <c r="I20" s="63"/>
      <c r="J20" s="63"/>
      <c r="K20" s="63"/>
      <c r="L20" s="63"/>
      <c r="M20" s="63"/>
    </row>
    <row r="21" spans="1:13">
      <c r="A21" s="62"/>
      <c r="B21" s="63"/>
      <c r="C21" s="63"/>
      <c r="D21" s="63"/>
      <c r="E21" s="63"/>
      <c r="F21" s="63"/>
      <c r="G21" s="63"/>
      <c r="H21" s="63"/>
      <c r="I21" s="63"/>
      <c r="J21" s="63"/>
      <c r="K21" s="63"/>
      <c r="L21" s="63"/>
      <c r="M21" s="63"/>
    </row>
    <row r="22" spans="1:13">
      <c r="A22" s="62"/>
      <c r="B22" s="63"/>
      <c r="C22" s="63"/>
      <c r="D22" s="63"/>
      <c r="E22" s="63"/>
      <c r="F22" s="63"/>
      <c r="G22" s="63"/>
      <c r="H22" s="63"/>
      <c r="I22" s="63"/>
      <c r="J22" s="63"/>
      <c r="K22" s="63"/>
      <c r="L22" s="63"/>
      <c r="M22" s="63"/>
    </row>
    <row r="23" spans="1:13">
      <c r="A23" s="62"/>
      <c r="B23" s="63"/>
      <c r="C23" s="63"/>
      <c r="D23" s="63"/>
      <c r="E23" s="63"/>
      <c r="F23" s="63"/>
      <c r="G23" s="63"/>
      <c r="H23" s="63"/>
      <c r="I23" s="63"/>
      <c r="J23" s="63"/>
      <c r="K23" s="63"/>
      <c r="L23" s="63"/>
      <c r="M23" s="63"/>
    </row>
    <row r="24" spans="1:13">
      <c r="A24" s="62"/>
      <c r="B24" s="63"/>
      <c r="C24" s="63"/>
      <c r="D24" s="63"/>
      <c r="E24" s="63"/>
      <c r="F24" s="63"/>
      <c r="G24" s="63"/>
      <c r="H24" s="63"/>
      <c r="I24" s="63"/>
      <c r="J24" s="63"/>
      <c r="K24" s="63"/>
      <c r="L24" s="63"/>
      <c r="M24" s="63"/>
    </row>
    <row r="25" spans="1:13">
      <c r="A25" s="62"/>
      <c r="B25" s="63"/>
      <c r="C25" s="63"/>
      <c r="D25" s="63"/>
      <c r="E25" s="63"/>
      <c r="F25" s="63"/>
      <c r="G25" s="63"/>
      <c r="H25" s="63"/>
      <c r="I25" s="63"/>
      <c r="J25" s="63"/>
      <c r="K25" s="63"/>
      <c r="L25" s="63"/>
      <c r="M25" s="63"/>
    </row>
    <row r="26" spans="1:13">
      <c r="A26" s="62"/>
      <c r="B26" s="63"/>
      <c r="C26" s="63"/>
      <c r="D26" s="63"/>
      <c r="E26" s="63"/>
      <c r="F26" s="63"/>
      <c r="G26" s="63"/>
      <c r="H26" s="63"/>
      <c r="I26" s="63"/>
      <c r="J26" s="63"/>
      <c r="K26" s="63"/>
      <c r="L26" s="63"/>
      <c r="M26" s="63"/>
    </row>
    <row r="27" spans="1:13">
      <c r="A27" s="62"/>
      <c r="B27" s="63"/>
      <c r="C27" s="63"/>
      <c r="D27" s="63"/>
      <c r="E27" s="63"/>
      <c r="F27" s="63"/>
      <c r="G27" s="63"/>
      <c r="H27" s="63"/>
      <c r="I27" s="63"/>
      <c r="J27" s="63"/>
      <c r="K27" s="63"/>
      <c r="L27" s="63"/>
      <c r="M27" s="63"/>
    </row>
    <row r="28" spans="1:13">
      <c r="A28" s="62"/>
      <c r="B28" s="63"/>
      <c r="C28" s="63"/>
      <c r="D28" s="63"/>
      <c r="E28" s="63"/>
      <c r="F28" s="63"/>
      <c r="G28" s="63"/>
      <c r="H28" s="63"/>
      <c r="I28" s="63"/>
      <c r="J28" s="63"/>
      <c r="K28" s="63"/>
      <c r="L28" s="63"/>
      <c r="M28" s="63"/>
    </row>
    <row r="29" spans="1:13">
      <c r="A29" s="62"/>
      <c r="B29" s="63"/>
      <c r="C29" s="63"/>
      <c r="D29" s="63"/>
      <c r="E29" s="63"/>
      <c r="F29" s="63"/>
      <c r="G29" s="63"/>
      <c r="H29" s="63"/>
      <c r="I29" s="63"/>
      <c r="J29" s="63"/>
      <c r="K29" s="63"/>
      <c r="L29" s="63"/>
      <c r="M29" s="63"/>
    </row>
    <row r="30" spans="1:13">
      <c r="A30" s="62"/>
      <c r="B30" s="63"/>
      <c r="C30" s="63"/>
      <c r="D30" s="63"/>
      <c r="E30" s="63"/>
      <c r="F30" s="63"/>
      <c r="G30" s="63"/>
      <c r="H30" s="63"/>
      <c r="I30" s="63"/>
      <c r="J30" s="63"/>
      <c r="K30" s="63"/>
      <c r="L30" s="63"/>
      <c r="M30" s="63"/>
    </row>
    <row r="31" spans="1:13">
      <c r="A31" s="62"/>
      <c r="B31" s="63"/>
      <c r="C31" s="63"/>
      <c r="D31" s="63"/>
      <c r="E31" s="63"/>
      <c r="F31" s="63"/>
      <c r="G31" s="63"/>
      <c r="H31" s="63"/>
      <c r="I31" s="63"/>
      <c r="J31" s="63"/>
      <c r="K31" s="63"/>
      <c r="L31" s="63"/>
      <c r="M31" s="63"/>
    </row>
    <row r="32" spans="1:13">
      <c r="A32" s="62"/>
      <c r="B32" s="63"/>
      <c r="C32" s="63"/>
      <c r="D32" s="63"/>
      <c r="E32" s="63"/>
      <c r="F32" s="63"/>
      <c r="G32" s="63"/>
      <c r="H32" s="63"/>
      <c r="I32" s="63"/>
      <c r="J32" s="63"/>
      <c r="K32" s="63"/>
      <c r="L32" s="63"/>
      <c r="M32" s="63"/>
    </row>
    <row r="33" spans="1:13">
      <c r="A33" s="62"/>
      <c r="B33" s="63"/>
      <c r="C33" s="63"/>
      <c r="D33" s="63"/>
      <c r="E33" s="63"/>
      <c r="F33" s="63"/>
      <c r="G33" s="63"/>
      <c r="H33" s="63"/>
      <c r="I33" s="63"/>
      <c r="J33" s="63"/>
      <c r="K33" s="63"/>
      <c r="L33" s="63"/>
      <c r="M33" s="63"/>
    </row>
    <row r="34" spans="1:13">
      <c r="A34" s="62"/>
      <c r="B34" s="63"/>
      <c r="C34" s="63"/>
      <c r="D34" s="63"/>
      <c r="E34" s="63"/>
      <c r="F34" s="63"/>
      <c r="G34" s="63"/>
      <c r="H34" s="63"/>
      <c r="I34" s="63"/>
      <c r="J34" s="63"/>
      <c r="K34" s="63"/>
      <c r="L34" s="63"/>
      <c r="M34" s="63"/>
    </row>
    <row r="35" spans="1:13">
      <c r="A35" s="62"/>
      <c r="B35" s="63"/>
      <c r="C35" s="63"/>
      <c r="D35" s="63"/>
      <c r="E35" s="63"/>
      <c r="F35" s="63"/>
      <c r="G35" s="63"/>
      <c r="H35" s="63"/>
      <c r="I35" s="63"/>
      <c r="J35" s="63"/>
      <c r="K35" s="63"/>
      <c r="L35" s="63"/>
      <c r="M35" s="63"/>
    </row>
    <row r="36" spans="1:13">
      <c r="A36" s="62"/>
      <c r="B36" s="63"/>
      <c r="C36" s="63"/>
      <c r="D36" s="63"/>
      <c r="E36" s="63"/>
      <c r="F36" s="63"/>
      <c r="G36" s="63"/>
      <c r="H36" s="63"/>
      <c r="I36" s="63"/>
      <c r="J36" s="63"/>
      <c r="K36" s="63"/>
      <c r="L36" s="63"/>
      <c r="M36" s="63"/>
    </row>
    <row r="37" spans="1:13">
      <c r="A37" s="62"/>
      <c r="B37" s="63"/>
      <c r="C37" s="63"/>
      <c r="D37" s="63"/>
      <c r="E37" s="63"/>
      <c r="F37" s="63"/>
      <c r="G37" s="63"/>
      <c r="H37" s="63"/>
      <c r="I37" s="63"/>
      <c r="J37" s="63"/>
      <c r="K37" s="63"/>
      <c r="L37" s="63"/>
      <c r="M37" s="63"/>
    </row>
    <row r="38" spans="1:13">
      <c r="A38" s="62"/>
      <c r="B38" s="63"/>
      <c r="C38" s="63"/>
      <c r="D38" s="63"/>
      <c r="E38" s="63"/>
      <c r="F38" s="63"/>
      <c r="G38" s="63"/>
      <c r="H38" s="63"/>
      <c r="I38" s="63"/>
      <c r="J38" s="63"/>
      <c r="K38" s="63"/>
      <c r="L38" s="63"/>
      <c r="M38" s="63"/>
    </row>
    <row r="39" spans="1:13">
      <c r="A39" s="62"/>
      <c r="B39" s="63"/>
      <c r="C39" s="63"/>
      <c r="D39" s="63"/>
      <c r="E39" s="63"/>
      <c r="F39" s="63"/>
      <c r="G39" s="63"/>
      <c r="H39" s="63"/>
      <c r="I39" s="63"/>
      <c r="J39" s="63"/>
      <c r="K39" s="63"/>
      <c r="L39" s="63"/>
      <c r="M39" s="63"/>
    </row>
  </sheetData>
  <phoneticPr fontId="29" type="noConversion"/>
  <pageMargins left="0.69972223043441772" right="0.69972223043441772" top="0.75" bottom="0.75" header="0.30000001192092896" footer="0.30000001192092896"/>
  <pageSetup paperSize="9" scale="71"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H36"/>
  <sheetViews>
    <sheetView topLeftCell="B25" zoomScaleNormal="100" zoomScaleSheetLayoutView="75" workbookViewId="0">
      <selection activeCell="B34" sqref="B34:C35"/>
    </sheetView>
  </sheetViews>
  <sheetFormatPr defaultColWidth="9" defaultRowHeight="11.25"/>
  <cols>
    <col min="1" max="1" width="2" style="29" customWidth="1"/>
    <col min="2" max="2" width="7.75" style="28" customWidth="1"/>
    <col min="3" max="3" width="10.75" style="28" customWidth="1"/>
    <col min="4" max="4" width="71.5" style="29" customWidth="1"/>
    <col min="5" max="5" width="7.5" style="29" bestFit="1" customWidth="1"/>
    <col min="6" max="6" width="46.625" style="29" bestFit="1" customWidth="1"/>
    <col min="7" max="7" width="14.25" style="28" customWidth="1"/>
    <col min="8" max="8" width="46.375" style="28" customWidth="1"/>
    <col min="9" max="16384" width="9" style="29"/>
  </cols>
  <sheetData>
    <row r="1" spans="2:8" s="28" customFormat="1" ht="16.5" customHeight="1">
      <c r="D1" s="29"/>
      <c r="E1" s="29"/>
      <c r="F1" s="29"/>
    </row>
    <row r="2" spans="2:8" ht="33.75" customHeight="1">
      <c r="B2" s="370" t="s">
        <v>543</v>
      </c>
      <c r="C2" s="370"/>
      <c r="D2" s="370"/>
      <c r="E2" s="370"/>
      <c r="F2" s="370"/>
      <c r="G2" s="370"/>
      <c r="H2" s="370"/>
    </row>
    <row r="3" spans="2:8" ht="9.9499999999999993" customHeight="1"/>
    <row r="4" spans="2:8" ht="24">
      <c r="B4" s="99" t="s">
        <v>827</v>
      </c>
      <c r="C4" s="99" t="s">
        <v>795</v>
      </c>
      <c r="D4" s="99" t="s">
        <v>612</v>
      </c>
      <c r="E4" s="99" t="s">
        <v>808</v>
      </c>
      <c r="F4" s="99" t="s">
        <v>361</v>
      </c>
      <c r="G4" s="99" t="s">
        <v>556</v>
      </c>
      <c r="H4" s="30" t="s">
        <v>29</v>
      </c>
    </row>
    <row r="5" spans="2:8" s="31" customFormat="1">
      <c r="B5" s="64" t="s">
        <v>834</v>
      </c>
      <c r="C5" s="65">
        <v>44662</v>
      </c>
      <c r="D5" s="100" t="s">
        <v>382</v>
      </c>
      <c r="E5" s="101" t="s">
        <v>51</v>
      </c>
      <c r="F5" s="74"/>
      <c r="G5" s="67"/>
      <c r="H5" s="68"/>
    </row>
    <row r="6" spans="2:8" s="31" customFormat="1">
      <c r="B6" s="64"/>
      <c r="C6" s="65"/>
      <c r="D6" s="100" t="s">
        <v>247</v>
      </c>
      <c r="E6" s="102" t="s">
        <v>790</v>
      </c>
      <c r="F6" s="74" t="s">
        <v>321</v>
      </c>
      <c r="G6" s="67"/>
      <c r="H6" s="68"/>
    </row>
    <row r="7" spans="2:8" ht="67.5">
      <c r="B7" s="64"/>
      <c r="C7" s="65"/>
      <c r="D7" s="66" t="s">
        <v>981</v>
      </c>
      <c r="E7" s="74"/>
      <c r="F7" s="74" t="s">
        <v>263</v>
      </c>
      <c r="G7" s="67"/>
      <c r="H7" s="68"/>
    </row>
    <row r="8" spans="2:8" ht="14.25" customHeight="1">
      <c r="B8" s="78"/>
      <c r="C8" s="78"/>
      <c r="D8" s="79" t="s">
        <v>339</v>
      </c>
      <c r="E8" s="80"/>
      <c r="F8" s="80" t="s">
        <v>916</v>
      </c>
      <c r="G8" s="78"/>
      <c r="H8" s="78"/>
    </row>
    <row r="9" spans="2:8" ht="22.5">
      <c r="B9" s="371">
        <v>1.01</v>
      </c>
      <c r="C9" s="373">
        <v>44678</v>
      </c>
      <c r="D9" s="79" t="s">
        <v>919</v>
      </c>
      <c r="E9" s="371" t="s">
        <v>918</v>
      </c>
      <c r="F9" s="79" t="s">
        <v>917</v>
      </c>
      <c r="G9" s="78"/>
      <c r="H9" s="98"/>
    </row>
    <row r="10" spans="2:8" ht="33.75">
      <c r="B10" s="372"/>
      <c r="C10" s="374"/>
      <c r="D10" s="79" t="s">
        <v>920</v>
      </c>
      <c r="E10" s="372"/>
      <c r="F10" s="79" t="s">
        <v>1518</v>
      </c>
      <c r="G10" s="78"/>
      <c r="H10" s="98"/>
    </row>
    <row r="11" spans="2:8" ht="45">
      <c r="B11" s="378">
        <v>1.02</v>
      </c>
      <c r="C11" s="375">
        <v>44704</v>
      </c>
      <c r="D11" s="163" t="s">
        <v>963</v>
      </c>
      <c r="E11" s="157" t="s">
        <v>951</v>
      </c>
      <c r="F11" s="158" t="s">
        <v>948</v>
      </c>
      <c r="G11" s="157"/>
      <c r="H11" s="157"/>
    </row>
    <row r="12" spans="2:8">
      <c r="B12" s="379"/>
      <c r="C12" s="376"/>
      <c r="D12" s="156" t="s">
        <v>949</v>
      </c>
      <c r="E12" s="157" t="s">
        <v>950</v>
      </c>
      <c r="F12" s="158" t="s">
        <v>948</v>
      </c>
      <c r="G12" s="157"/>
      <c r="H12" s="157"/>
    </row>
    <row r="13" spans="2:8" ht="101.25">
      <c r="B13" s="380"/>
      <c r="C13" s="377"/>
      <c r="D13" s="156" t="s">
        <v>953</v>
      </c>
      <c r="E13" s="157" t="s">
        <v>950</v>
      </c>
      <c r="F13" s="158" t="s">
        <v>947</v>
      </c>
      <c r="G13" s="157"/>
      <c r="H13" s="157"/>
    </row>
    <row r="14" spans="2:8" ht="90">
      <c r="B14" s="157">
        <v>1.03</v>
      </c>
      <c r="C14" s="167">
        <v>44707</v>
      </c>
      <c r="D14" s="156" t="s">
        <v>987</v>
      </c>
      <c r="E14" s="157" t="s">
        <v>918</v>
      </c>
      <c r="F14" s="169" t="s">
        <v>986</v>
      </c>
      <c r="G14" s="157"/>
      <c r="H14" s="157"/>
    </row>
    <row r="15" spans="2:8">
      <c r="B15" s="157">
        <v>1.04</v>
      </c>
      <c r="C15" s="167" t="s">
        <v>992</v>
      </c>
      <c r="D15" s="156"/>
      <c r="E15" s="157"/>
      <c r="F15" s="169"/>
      <c r="G15" s="157"/>
      <c r="H15" s="157"/>
    </row>
    <row r="16" spans="2:8" ht="22.5">
      <c r="B16" s="157">
        <v>1.05</v>
      </c>
      <c r="C16" s="167">
        <v>44719</v>
      </c>
      <c r="D16" s="156" t="s">
        <v>996</v>
      </c>
      <c r="E16" s="157" t="s">
        <v>918</v>
      </c>
      <c r="F16" s="170" t="s">
        <v>997</v>
      </c>
      <c r="G16" s="157"/>
      <c r="H16" s="157"/>
    </row>
    <row r="17" spans="2:8" ht="15.75" customHeight="1">
      <c r="B17" s="181">
        <v>1.06</v>
      </c>
      <c r="C17" s="182">
        <v>44819</v>
      </c>
      <c r="D17" s="183" t="s">
        <v>1018</v>
      </c>
      <c r="E17" s="183"/>
      <c r="F17" s="183"/>
      <c r="G17" s="181"/>
      <c r="H17" s="181"/>
    </row>
    <row r="18" spans="2:8" ht="56.25">
      <c r="B18" s="181">
        <v>1.07</v>
      </c>
      <c r="C18" s="182">
        <v>44868</v>
      </c>
      <c r="D18" s="184" t="s">
        <v>1096</v>
      </c>
      <c r="E18" s="181" t="s">
        <v>918</v>
      </c>
      <c r="F18" s="183"/>
      <c r="G18" s="181"/>
      <c r="H18" s="181"/>
    </row>
    <row r="19" spans="2:8" s="31" customFormat="1" ht="56.25">
      <c r="B19" s="181">
        <v>1.08</v>
      </c>
      <c r="C19" s="182">
        <v>44903</v>
      </c>
      <c r="D19" s="184" t="s">
        <v>1097</v>
      </c>
      <c r="E19" s="181" t="s">
        <v>918</v>
      </c>
      <c r="F19" s="183"/>
      <c r="G19" s="181"/>
      <c r="H19" s="181"/>
    </row>
    <row r="20" spans="2:8" ht="67.5">
      <c r="B20" s="181">
        <v>1.0900000000000001</v>
      </c>
      <c r="C20" s="182">
        <v>45026</v>
      </c>
      <c r="D20" s="184" t="s">
        <v>1111</v>
      </c>
      <c r="E20" s="181" t="s">
        <v>1102</v>
      </c>
      <c r="F20" s="206" t="s">
        <v>1110</v>
      </c>
      <c r="G20" s="181"/>
      <c r="H20" s="207"/>
    </row>
    <row r="21" spans="2:8" s="31" customFormat="1">
      <c r="B21" s="208">
        <v>1.1000000000000001</v>
      </c>
      <c r="C21" s="182">
        <v>45110</v>
      </c>
      <c r="D21" s="206" t="s">
        <v>1165</v>
      </c>
      <c r="E21" s="181" t="s">
        <v>918</v>
      </c>
      <c r="F21" s="206" t="s">
        <v>1165</v>
      </c>
      <c r="G21" s="181"/>
      <c r="H21" s="207"/>
    </row>
    <row r="22" spans="2:8" s="31" customFormat="1">
      <c r="B22" s="208">
        <v>1.1200000000000001</v>
      </c>
      <c r="C22" s="182">
        <v>45219</v>
      </c>
      <c r="D22" s="206" t="s">
        <v>1168</v>
      </c>
      <c r="E22" s="181" t="s">
        <v>918</v>
      </c>
      <c r="F22" s="206" t="s">
        <v>1169</v>
      </c>
      <c r="G22" s="181"/>
      <c r="H22" s="207" t="s">
        <v>1170</v>
      </c>
    </row>
    <row r="23" spans="2:8" s="31" customFormat="1">
      <c r="B23" s="181">
        <v>1.1200000000000001</v>
      </c>
      <c r="C23" s="182">
        <v>45257</v>
      </c>
      <c r="D23" s="206" t="s">
        <v>1168</v>
      </c>
      <c r="E23" s="181" t="s">
        <v>918</v>
      </c>
      <c r="F23" s="206" t="s">
        <v>1169</v>
      </c>
      <c r="G23" s="181"/>
      <c r="H23" s="207" t="s">
        <v>1192</v>
      </c>
    </row>
    <row r="24" spans="2:8" s="31" customFormat="1">
      <c r="B24" s="181">
        <v>1.1200000000000001</v>
      </c>
      <c r="C24" s="182">
        <v>45278</v>
      </c>
      <c r="D24" s="206" t="s">
        <v>1168</v>
      </c>
      <c r="E24" s="181" t="s">
        <v>918</v>
      </c>
      <c r="F24" s="206" t="s">
        <v>1169</v>
      </c>
      <c r="G24" s="181"/>
      <c r="H24" s="207" t="s">
        <v>1193</v>
      </c>
    </row>
    <row r="25" spans="2:8" s="31" customFormat="1" ht="45">
      <c r="B25" s="181">
        <v>1.1299999999999999</v>
      </c>
      <c r="C25" s="182">
        <v>45323</v>
      </c>
      <c r="D25" s="206" t="s">
        <v>1194</v>
      </c>
      <c r="E25" s="181" t="s">
        <v>918</v>
      </c>
      <c r="F25" s="206" t="s">
        <v>1196</v>
      </c>
      <c r="G25" s="181"/>
      <c r="H25" s="207"/>
    </row>
    <row r="26" spans="2:8" s="31" customFormat="1" ht="45">
      <c r="B26" s="367">
        <v>1.1399999999999999</v>
      </c>
      <c r="C26" s="270">
        <v>45474</v>
      </c>
      <c r="D26" s="206" t="s">
        <v>1363</v>
      </c>
      <c r="E26" s="181" t="s">
        <v>1205</v>
      </c>
      <c r="F26" s="206" t="s">
        <v>1362</v>
      </c>
      <c r="G26" s="181"/>
      <c r="H26" s="271" t="s">
        <v>1359</v>
      </c>
    </row>
    <row r="27" spans="2:8" s="31" customFormat="1" ht="56.25">
      <c r="B27" s="368"/>
      <c r="C27" s="182">
        <v>45523</v>
      </c>
      <c r="D27" s="206" t="s">
        <v>1200</v>
      </c>
      <c r="E27" s="181" t="s">
        <v>918</v>
      </c>
      <c r="F27" s="206" t="s">
        <v>1203</v>
      </c>
      <c r="G27" s="181"/>
      <c r="H27" s="275" t="s">
        <v>1361</v>
      </c>
    </row>
    <row r="28" spans="2:8" s="31" customFormat="1">
      <c r="B28" s="369"/>
      <c r="C28" s="276">
        <v>45537</v>
      </c>
      <c r="D28" s="277" t="s">
        <v>1360</v>
      </c>
      <c r="E28" s="181" t="s">
        <v>918</v>
      </c>
      <c r="F28" s="206" t="s">
        <v>1199</v>
      </c>
      <c r="G28" s="181"/>
      <c r="H28" s="278" t="s">
        <v>1204</v>
      </c>
    </row>
    <row r="29" spans="2:8" s="31" customFormat="1" ht="56.25">
      <c r="B29" s="181">
        <v>1.1499999999999999</v>
      </c>
      <c r="C29" s="182">
        <v>45544</v>
      </c>
      <c r="D29" s="206" t="s">
        <v>1200</v>
      </c>
      <c r="E29" s="181" t="s">
        <v>918</v>
      </c>
      <c r="F29" s="206" t="s">
        <v>1203</v>
      </c>
      <c r="G29" s="181"/>
      <c r="H29" s="275" t="s">
        <v>1508</v>
      </c>
    </row>
    <row r="30" spans="2:8" s="31" customFormat="1" ht="56.25">
      <c r="B30" s="181">
        <v>1.1599999999999999</v>
      </c>
      <c r="C30" s="182">
        <v>45866</v>
      </c>
      <c r="D30" s="206" t="s">
        <v>1535</v>
      </c>
      <c r="E30" s="181" t="s">
        <v>918</v>
      </c>
      <c r="F30" s="206" t="s">
        <v>1552</v>
      </c>
      <c r="G30" s="181"/>
      <c r="H30" s="275" t="s">
        <v>1619</v>
      </c>
    </row>
    <row r="31" spans="2:8" s="31" customFormat="1" ht="22.5">
      <c r="B31" s="181">
        <v>1.17</v>
      </c>
      <c r="C31" s="182">
        <v>46024</v>
      </c>
      <c r="D31" s="206" t="s">
        <v>1647</v>
      </c>
      <c r="E31" s="181" t="s">
        <v>918</v>
      </c>
      <c r="F31" s="206" t="s">
        <v>1199</v>
      </c>
      <c r="G31" s="181"/>
      <c r="H31" s="275" t="s">
        <v>1631</v>
      </c>
    </row>
    <row r="32" spans="2:8" s="31" customFormat="1">
      <c r="B32" s="181">
        <v>1.18</v>
      </c>
      <c r="C32" s="182">
        <v>46113</v>
      </c>
      <c r="D32" s="206" t="s">
        <v>1648</v>
      </c>
      <c r="E32" s="181" t="s">
        <v>918</v>
      </c>
      <c r="F32" s="206" t="s">
        <v>1649</v>
      </c>
      <c r="G32" s="181"/>
      <c r="H32" s="275" t="s">
        <v>1650</v>
      </c>
    </row>
    <row r="33" spans="2:8" s="31" customFormat="1" ht="22.5">
      <c r="B33" s="181">
        <v>1.19</v>
      </c>
      <c r="C33" s="182">
        <v>46139</v>
      </c>
      <c r="D33" s="206" t="s">
        <v>1651</v>
      </c>
      <c r="E33" s="181" t="s">
        <v>918</v>
      </c>
      <c r="F33" s="206" t="s">
        <v>1666</v>
      </c>
      <c r="G33" s="181"/>
      <c r="H33" s="275" t="s">
        <v>1665</v>
      </c>
    </row>
    <row r="34" spans="2:8" s="31" customFormat="1" ht="45">
      <c r="B34" s="365">
        <v>1.2</v>
      </c>
      <c r="C34" s="358">
        <v>46202</v>
      </c>
      <c r="D34" s="200" t="s">
        <v>1681</v>
      </c>
      <c r="E34" s="171" t="s">
        <v>918</v>
      </c>
      <c r="F34" s="200" t="s">
        <v>1670</v>
      </c>
      <c r="G34" s="171"/>
      <c r="H34" s="351" t="s">
        <v>1682</v>
      </c>
    </row>
    <row r="35" spans="2:8" s="31" customFormat="1" ht="33.75">
      <c r="B35" s="366"/>
      <c r="C35" s="358">
        <v>46244</v>
      </c>
      <c r="D35" s="200" t="s">
        <v>1680</v>
      </c>
      <c r="E35" s="171" t="s">
        <v>918</v>
      </c>
      <c r="F35" s="200" t="s">
        <v>1671</v>
      </c>
      <c r="G35" s="171"/>
      <c r="H35" s="351" t="s">
        <v>1683</v>
      </c>
    </row>
    <row r="36" spans="2:8" ht="15.75" customHeight="1"/>
  </sheetData>
  <mergeCells count="8">
    <mergeCell ref="B34:B35"/>
    <mergeCell ref="B26:B28"/>
    <mergeCell ref="B2:H2"/>
    <mergeCell ref="B9:B10"/>
    <mergeCell ref="C9:C10"/>
    <mergeCell ref="E9:E10"/>
    <mergeCell ref="C11:C13"/>
    <mergeCell ref="B11:B13"/>
  </mergeCells>
  <phoneticPr fontId="29" type="noConversion"/>
  <pageMargins left="0.7086111307144165" right="0.7086111307144165" top="0.74750000238418579" bottom="0.74750000238418579" header="0.31486111879348755" footer="0.31486111879348755"/>
  <pageSetup paperSize="9" scale="65" fitToHeight="0" orientation="landscape"/>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F107"/>
  <sheetViews>
    <sheetView showGridLines="0" view="pageBreakPreview" zoomScaleNormal="100" zoomScaleSheetLayoutView="100" workbookViewId="0">
      <pane xSplit="3" ySplit="3" topLeftCell="F28" activePane="bottomRight" state="frozen"/>
      <selection pane="topRight"/>
      <selection pane="bottomLeft"/>
      <selection pane="bottomRight" activeCell="B39" sqref="B39"/>
    </sheetView>
  </sheetViews>
  <sheetFormatPr defaultColWidth="9" defaultRowHeight="11.25"/>
  <cols>
    <col min="1" max="1" width="8" style="7" hidden="1" customWidth="1"/>
    <col min="2" max="2" width="9.25" style="8" bestFit="1" customWidth="1"/>
    <col min="3" max="3" width="52.625" style="8" bestFit="1" customWidth="1"/>
    <col min="4" max="4" width="7" style="4" bestFit="1" customWidth="1"/>
    <col min="5" max="5" width="39.125" style="8" bestFit="1" customWidth="1"/>
    <col min="6" max="6" width="15.25" style="8" customWidth="1"/>
    <col min="7" max="7" width="16.875" style="7" customWidth="1"/>
    <col min="8" max="8" width="6.375" style="4" bestFit="1" customWidth="1"/>
    <col min="9" max="9" width="10" style="7" customWidth="1"/>
    <col min="10" max="20" width="7.75" style="6" customWidth="1"/>
    <col min="21" max="21" width="6" style="5" bestFit="1" customWidth="1"/>
    <col min="22" max="22" width="19" style="4" customWidth="1"/>
    <col min="23" max="23" width="9" style="3" customWidth="1"/>
    <col min="24" max="16384" width="9" style="3"/>
  </cols>
  <sheetData>
    <row r="1" spans="1:23" s="15" customFormat="1">
      <c r="A1" s="384"/>
      <c r="B1" s="387" t="s">
        <v>962</v>
      </c>
      <c r="C1" s="387" t="s">
        <v>1095</v>
      </c>
      <c r="D1" s="387" t="s">
        <v>840</v>
      </c>
      <c r="E1" s="387" t="s">
        <v>799</v>
      </c>
      <c r="F1" s="387" t="s">
        <v>984</v>
      </c>
      <c r="G1" s="387" t="s">
        <v>839</v>
      </c>
      <c r="H1" s="389" t="s">
        <v>369</v>
      </c>
      <c r="I1" s="387" t="s">
        <v>829</v>
      </c>
      <c r="J1" s="387"/>
      <c r="K1" s="387"/>
      <c r="L1" s="387"/>
      <c r="M1" s="387"/>
      <c r="N1" s="387"/>
      <c r="O1" s="387"/>
      <c r="P1" s="387"/>
      <c r="Q1" s="387"/>
      <c r="R1" s="387"/>
      <c r="S1" s="387"/>
      <c r="T1" s="387"/>
      <c r="U1" s="388" t="s">
        <v>779</v>
      </c>
      <c r="V1" s="388" t="s">
        <v>815</v>
      </c>
      <c r="W1" s="381" t="s">
        <v>631</v>
      </c>
    </row>
    <row r="2" spans="1:23" s="15" customFormat="1">
      <c r="A2" s="385"/>
      <c r="B2" s="387"/>
      <c r="C2" s="387"/>
      <c r="D2" s="387"/>
      <c r="E2" s="387"/>
      <c r="F2" s="387"/>
      <c r="G2" s="387"/>
      <c r="H2" s="390"/>
      <c r="I2" s="387"/>
      <c r="J2" s="16"/>
      <c r="K2" s="16"/>
      <c r="L2" s="24"/>
      <c r="M2" s="24"/>
      <c r="N2" s="16"/>
      <c r="O2" s="16"/>
      <c r="P2" s="24"/>
      <c r="Q2" s="16"/>
      <c r="R2" s="24"/>
      <c r="S2" s="24"/>
      <c r="T2" s="24"/>
      <c r="U2" s="388"/>
      <c r="V2" s="388"/>
      <c r="W2" s="382"/>
    </row>
    <row r="3" spans="1:23" s="15" customFormat="1" ht="27">
      <c r="A3" s="386"/>
      <c r="B3" s="387"/>
      <c r="C3" s="387"/>
      <c r="D3" s="387"/>
      <c r="E3" s="387"/>
      <c r="F3" s="387"/>
      <c r="G3" s="387"/>
      <c r="H3" s="391"/>
      <c r="I3" s="387"/>
      <c r="J3" s="103" t="s">
        <v>1523</v>
      </c>
      <c r="K3" s="126" t="s">
        <v>567</v>
      </c>
      <c r="L3" s="126" t="s">
        <v>570</v>
      </c>
      <c r="M3" s="126" t="s">
        <v>550</v>
      </c>
      <c r="N3" s="127" t="s">
        <v>555</v>
      </c>
      <c r="O3" s="126" t="s">
        <v>518</v>
      </c>
      <c r="P3" s="103" t="s">
        <v>545</v>
      </c>
      <c r="Q3" s="126" t="s">
        <v>520</v>
      </c>
      <c r="R3" s="126" t="s">
        <v>635</v>
      </c>
      <c r="S3" s="126" t="s">
        <v>386</v>
      </c>
      <c r="T3" s="126" t="s">
        <v>378</v>
      </c>
      <c r="U3" s="388"/>
      <c r="V3" s="388"/>
      <c r="W3" s="383" t="s">
        <v>631</v>
      </c>
    </row>
    <row r="4" spans="1:23" s="9" customFormat="1">
      <c r="A4" s="14">
        <f t="shared" ref="A4:A32" si="0">ROW(A4)-9</f>
        <v>-5</v>
      </c>
      <c r="B4" s="90" t="str">
        <f>HYPERLINK("#"&amp;ADDRESS(MATCH($W4,'SPEC Details'!$A:$A,0),1,,,"SPEC Details"),$W4)</f>
        <v>IFMIDIP1000</v>
      </c>
      <c r="C4" s="26" t="s">
        <v>357</v>
      </c>
      <c r="D4" s="11" t="s">
        <v>830</v>
      </c>
      <c r="E4" s="26" t="s">
        <v>357</v>
      </c>
      <c r="F4" s="27" t="s">
        <v>510</v>
      </c>
      <c r="G4" s="11" t="s">
        <v>841</v>
      </c>
      <c r="H4" s="11" t="s">
        <v>32</v>
      </c>
      <c r="I4" s="11" t="s">
        <v>31</v>
      </c>
      <c r="J4" s="89" t="s">
        <v>134</v>
      </c>
      <c r="K4" s="89" t="s">
        <v>134</v>
      </c>
      <c r="L4" s="89"/>
      <c r="M4" s="89"/>
      <c r="N4" s="89"/>
      <c r="O4" s="89"/>
      <c r="P4" s="89"/>
      <c r="Q4" s="89"/>
      <c r="R4" s="89"/>
      <c r="S4" s="89"/>
      <c r="T4" s="89"/>
      <c r="U4" s="36" t="e">
        <f>SUMIF(#REF!,B4,#REF!)</f>
        <v>#REF!</v>
      </c>
      <c r="V4" s="10"/>
      <c r="W4" s="9" t="s">
        <v>633</v>
      </c>
    </row>
    <row r="5" spans="1:23" s="9" customFormat="1">
      <c r="A5" s="14">
        <f t="shared" si="0"/>
        <v>-4</v>
      </c>
      <c r="B5" s="90" t="str">
        <f>HYPERLINK("#"&amp;ADDRESS(MATCH($W5,'SPEC Details'!$A:$A,0),1,,,"SPEC Details"),$W5)</f>
        <v>F101S</v>
      </c>
      <c r="C5" s="90" t="s">
        <v>9</v>
      </c>
      <c r="D5" s="11" t="s">
        <v>830</v>
      </c>
      <c r="E5" s="13"/>
      <c r="F5" s="12" t="s">
        <v>627</v>
      </c>
      <c r="G5" s="89" t="s">
        <v>1125</v>
      </c>
      <c r="H5" s="11" t="s">
        <v>28</v>
      </c>
      <c r="I5" s="11" t="s">
        <v>120</v>
      </c>
      <c r="J5" s="89" t="s">
        <v>134</v>
      </c>
      <c r="K5" s="89" t="s">
        <v>134</v>
      </c>
      <c r="L5" s="89"/>
      <c r="M5" s="89"/>
      <c r="N5" s="89"/>
      <c r="O5" s="89"/>
      <c r="P5" s="89"/>
      <c r="Q5" s="89"/>
      <c r="R5" s="89"/>
      <c r="S5" s="89"/>
      <c r="T5" s="89"/>
      <c r="U5" s="36">
        <v>80</v>
      </c>
      <c r="V5" s="10"/>
      <c r="W5" s="9" t="s">
        <v>862</v>
      </c>
    </row>
    <row r="6" spans="1:23" s="9" customFormat="1">
      <c r="A6" s="14">
        <f t="shared" si="0"/>
        <v>-3</v>
      </c>
      <c r="B6" s="90" t="str">
        <f>HYPERLINK("#"&amp;ADDRESS(MATCH($W6,'SPEC Details'!$A:$A,0),1,,,"SPEC Details"),$W6)</f>
        <v>F101S</v>
      </c>
      <c r="C6" s="90" t="s">
        <v>8</v>
      </c>
      <c r="D6" s="11" t="s">
        <v>830</v>
      </c>
      <c r="E6" s="13"/>
      <c r="F6" s="12" t="s">
        <v>627</v>
      </c>
      <c r="G6" s="89" t="s">
        <v>1126</v>
      </c>
      <c r="H6" s="11" t="s">
        <v>28</v>
      </c>
      <c r="I6" s="11" t="s">
        <v>132</v>
      </c>
      <c r="J6" s="89" t="s">
        <v>134</v>
      </c>
      <c r="K6" s="89" t="s">
        <v>134</v>
      </c>
      <c r="L6" s="89"/>
      <c r="M6" s="89"/>
      <c r="N6" s="89"/>
      <c r="O6" s="89"/>
      <c r="P6" s="89"/>
      <c r="Q6" s="89"/>
      <c r="R6" s="89"/>
      <c r="S6" s="89"/>
      <c r="T6" s="89"/>
      <c r="U6" s="36">
        <v>80</v>
      </c>
      <c r="V6" s="10"/>
      <c r="W6" s="9" t="s">
        <v>862</v>
      </c>
    </row>
    <row r="7" spans="1:23" s="9" customFormat="1">
      <c r="A7" s="14">
        <f t="shared" si="0"/>
        <v>-2</v>
      </c>
      <c r="B7" s="90" t="str">
        <f>HYPERLINK("#"&amp;ADDRESS(MATCH($W7,'SPEC Details'!$A:$A,0),1,,,"SPEC Details"),$W7)</f>
        <v>F101S</v>
      </c>
      <c r="C7" s="90" t="s">
        <v>7</v>
      </c>
      <c r="D7" s="11" t="s">
        <v>830</v>
      </c>
      <c r="E7" s="13"/>
      <c r="F7" s="12" t="s">
        <v>627</v>
      </c>
      <c r="G7" s="89" t="s">
        <v>1127</v>
      </c>
      <c r="H7" s="11" t="s">
        <v>28</v>
      </c>
      <c r="I7" s="11" t="s">
        <v>19</v>
      </c>
      <c r="J7" s="89" t="s">
        <v>134</v>
      </c>
      <c r="K7" s="89" t="s">
        <v>134</v>
      </c>
      <c r="L7" s="89"/>
      <c r="M7" s="89"/>
      <c r="N7" s="89"/>
      <c r="O7" s="89"/>
      <c r="P7" s="89"/>
      <c r="Q7" s="89"/>
      <c r="R7" s="89"/>
      <c r="S7" s="89"/>
      <c r="T7" s="89"/>
      <c r="U7" s="36">
        <v>80</v>
      </c>
      <c r="V7" s="10"/>
      <c r="W7" s="9" t="s">
        <v>862</v>
      </c>
    </row>
    <row r="8" spans="1:23" s="9" customFormat="1">
      <c r="A8" s="14"/>
      <c r="B8" s="90" t="str">
        <f>HYPERLINK("#"&amp;ADDRESS(MATCH($W8,'SPEC Details'!$A:$A,0),1,,,"SPEC Details"),$W8)</f>
        <v>F101S</v>
      </c>
      <c r="C8" s="90" t="s">
        <v>957</v>
      </c>
      <c r="D8" s="11" t="s">
        <v>830</v>
      </c>
      <c r="E8" s="13"/>
      <c r="F8" s="12" t="s">
        <v>627</v>
      </c>
      <c r="G8" s="89" t="s">
        <v>817</v>
      </c>
      <c r="H8" s="11" t="s">
        <v>28</v>
      </c>
      <c r="I8" s="11" t="s">
        <v>784</v>
      </c>
      <c r="J8" s="89" t="s">
        <v>134</v>
      </c>
      <c r="K8" s="89" t="s">
        <v>134</v>
      </c>
      <c r="L8" s="89"/>
      <c r="M8" s="89"/>
      <c r="N8" s="89"/>
      <c r="O8" s="89"/>
      <c r="P8" s="89"/>
      <c r="Q8" s="89"/>
      <c r="R8" s="89"/>
      <c r="S8" s="89"/>
      <c r="T8" s="89"/>
      <c r="U8" s="36">
        <v>80</v>
      </c>
      <c r="V8" s="10"/>
      <c r="W8" s="9" t="s">
        <v>862</v>
      </c>
    </row>
    <row r="9" spans="1:23" s="9" customFormat="1">
      <c r="A9" s="14">
        <f t="shared" si="0"/>
        <v>0</v>
      </c>
      <c r="B9" s="90" t="str">
        <f>HYPERLINK("#"&amp;ADDRESS(MATCH($W9,'SPEC Details'!$A:$A,0),1,,,"SPEC Details"),$W9)</f>
        <v>F101S</v>
      </c>
      <c r="C9" s="90" t="s">
        <v>10</v>
      </c>
      <c r="D9" s="11" t="s">
        <v>830</v>
      </c>
      <c r="E9" s="13"/>
      <c r="F9" s="12" t="s">
        <v>627</v>
      </c>
      <c r="G9" s="168" t="s">
        <v>1128</v>
      </c>
      <c r="H9" s="11" t="s">
        <v>28</v>
      </c>
      <c r="I9" s="11" t="s">
        <v>125</v>
      </c>
      <c r="J9" s="89" t="s">
        <v>134</v>
      </c>
      <c r="K9" s="89" t="s">
        <v>134</v>
      </c>
      <c r="L9" s="89"/>
      <c r="M9" s="89"/>
      <c r="N9" s="89"/>
      <c r="O9" s="89"/>
      <c r="P9" s="89"/>
      <c r="Q9" s="89"/>
      <c r="R9" s="89"/>
      <c r="S9" s="89"/>
      <c r="T9" s="89"/>
      <c r="U9" s="36">
        <v>80</v>
      </c>
      <c r="V9" s="10"/>
      <c r="W9" s="9" t="s">
        <v>862</v>
      </c>
    </row>
    <row r="10" spans="1:23" s="9" customFormat="1">
      <c r="A10" s="14">
        <f t="shared" si="0"/>
        <v>1</v>
      </c>
      <c r="B10" s="90" t="str">
        <f>HYPERLINK("#"&amp;ADDRESS(MATCH($W10,'SPEC Details'!$A:$A,0),1,,,"SPEC Details"),$W10)</f>
        <v>F201S</v>
      </c>
      <c r="C10" s="90" t="s">
        <v>205</v>
      </c>
      <c r="D10" s="11" t="s">
        <v>830</v>
      </c>
      <c r="E10" s="13"/>
      <c r="F10" s="91" t="s">
        <v>636</v>
      </c>
      <c r="G10" s="89" t="s">
        <v>1129</v>
      </c>
      <c r="H10" s="89" t="s">
        <v>32</v>
      </c>
      <c r="I10" s="11" t="s">
        <v>120</v>
      </c>
      <c r="J10" s="89" t="s">
        <v>134</v>
      </c>
      <c r="K10" s="89" t="s">
        <v>134</v>
      </c>
      <c r="L10" s="89"/>
      <c r="M10" s="89"/>
      <c r="N10" s="89"/>
      <c r="O10" s="89"/>
      <c r="P10" s="89"/>
      <c r="Q10" s="89"/>
      <c r="R10" s="89"/>
      <c r="S10" s="89"/>
      <c r="T10" s="89"/>
      <c r="U10" s="36">
        <v>40</v>
      </c>
      <c r="V10" s="10"/>
      <c r="W10" s="9" t="s">
        <v>854</v>
      </c>
    </row>
    <row r="11" spans="1:23" s="9" customFormat="1">
      <c r="A11" s="14">
        <f t="shared" si="0"/>
        <v>2</v>
      </c>
      <c r="B11" s="90" t="str">
        <f>HYPERLINK("#"&amp;ADDRESS(MATCH($W11,'SPEC Details'!$A:$A,0),1,,,"SPEC Details"),$W11)</f>
        <v>F201S</v>
      </c>
      <c r="C11" s="90" t="s">
        <v>218</v>
      </c>
      <c r="D11" s="11" t="s">
        <v>830</v>
      </c>
      <c r="E11" s="13"/>
      <c r="F11" s="91" t="s">
        <v>636</v>
      </c>
      <c r="G11" s="89" t="s">
        <v>1130</v>
      </c>
      <c r="H11" s="89" t="s">
        <v>32</v>
      </c>
      <c r="I11" s="11" t="s">
        <v>132</v>
      </c>
      <c r="J11" s="89" t="s">
        <v>134</v>
      </c>
      <c r="K11" s="89" t="s">
        <v>134</v>
      </c>
      <c r="L11" s="89"/>
      <c r="M11" s="89"/>
      <c r="N11" s="89"/>
      <c r="O11" s="89"/>
      <c r="P11" s="89"/>
      <c r="Q11" s="89"/>
      <c r="R11" s="89"/>
      <c r="S11" s="89"/>
      <c r="T11" s="89"/>
      <c r="U11" s="36">
        <v>40</v>
      </c>
      <c r="V11" s="10"/>
      <c r="W11" s="9" t="s">
        <v>854</v>
      </c>
    </row>
    <row r="12" spans="1:23" s="9" customFormat="1">
      <c r="A12" s="14">
        <f t="shared" si="0"/>
        <v>3</v>
      </c>
      <c r="B12" s="90" t="str">
        <f>HYPERLINK("#"&amp;ADDRESS(MATCH($W12,'SPEC Details'!$A:$A,0),1,,,"SPEC Details"),$W12)</f>
        <v>F201S</v>
      </c>
      <c r="C12" s="90" t="s">
        <v>202</v>
      </c>
      <c r="D12" s="11" t="s">
        <v>830</v>
      </c>
      <c r="E12" s="13"/>
      <c r="F12" s="91" t="s">
        <v>636</v>
      </c>
      <c r="G12" s="89" t="s">
        <v>1131</v>
      </c>
      <c r="H12" s="89" t="s">
        <v>32</v>
      </c>
      <c r="I12" s="11" t="s">
        <v>19</v>
      </c>
      <c r="J12" s="89" t="s">
        <v>134</v>
      </c>
      <c r="K12" s="89" t="s">
        <v>134</v>
      </c>
      <c r="L12" s="89"/>
      <c r="M12" s="89"/>
      <c r="N12" s="89"/>
      <c r="O12" s="89"/>
      <c r="P12" s="89"/>
      <c r="Q12" s="89"/>
      <c r="R12" s="89"/>
      <c r="S12" s="89"/>
      <c r="T12" s="89"/>
      <c r="U12" s="36">
        <v>40</v>
      </c>
      <c r="V12" s="10"/>
      <c r="W12" s="9" t="s">
        <v>854</v>
      </c>
    </row>
    <row r="13" spans="1:23" s="9" customFormat="1">
      <c r="A13" s="14"/>
      <c r="B13" s="90" t="str">
        <f>HYPERLINK("#"&amp;ADDRESS(MATCH($W13,'SPEC Details'!$A:$A,0),1,,,"SPEC Details"),$W13)</f>
        <v>F201S</v>
      </c>
      <c r="C13" s="90" t="s">
        <v>958</v>
      </c>
      <c r="D13" s="11" t="s">
        <v>830</v>
      </c>
      <c r="E13" s="13"/>
      <c r="F13" s="91" t="s">
        <v>636</v>
      </c>
      <c r="G13" s="89" t="s">
        <v>819</v>
      </c>
      <c r="H13" s="89" t="s">
        <v>32</v>
      </c>
      <c r="I13" s="11" t="s">
        <v>784</v>
      </c>
      <c r="J13" s="89" t="s">
        <v>134</v>
      </c>
      <c r="K13" s="89" t="s">
        <v>134</v>
      </c>
      <c r="L13" s="89"/>
      <c r="M13" s="89"/>
      <c r="N13" s="89"/>
      <c r="O13" s="89"/>
      <c r="P13" s="89"/>
      <c r="Q13" s="89"/>
      <c r="R13" s="89"/>
      <c r="S13" s="89"/>
      <c r="T13" s="89"/>
      <c r="U13" s="36">
        <v>40</v>
      </c>
      <c r="V13" s="10"/>
      <c r="W13" s="9" t="s">
        <v>854</v>
      </c>
    </row>
    <row r="14" spans="1:23" s="9" customFormat="1">
      <c r="A14" s="14">
        <f t="shared" si="0"/>
        <v>5</v>
      </c>
      <c r="B14" s="90" t="str">
        <f>HYPERLINK("#"&amp;ADDRESS(MATCH($W14,'SPEC Details'!$A:$A,0),1,,,"SPEC Details"),$W14)</f>
        <v>F201S</v>
      </c>
      <c r="C14" s="90" t="s">
        <v>241</v>
      </c>
      <c r="D14" s="11" t="s">
        <v>830</v>
      </c>
      <c r="E14" s="13"/>
      <c r="F14" s="91" t="s">
        <v>636</v>
      </c>
      <c r="G14" s="89" t="s">
        <v>1132</v>
      </c>
      <c r="H14" s="89" t="s">
        <v>32</v>
      </c>
      <c r="I14" s="11" t="s">
        <v>125</v>
      </c>
      <c r="J14" s="89" t="s">
        <v>134</v>
      </c>
      <c r="K14" s="89" t="s">
        <v>134</v>
      </c>
      <c r="L14" s="89"/>
      <c r="M14" s="89"/>
      <c r="N14" s="89"/>
      <c r="O14" s="89"/>
      <c r="P14" s="89"/>
      <c r="Q14" s="89"/>
      <c r="R14" s="89"/>
      <c r="S14" s="89"/>
      <c r="T14" s="89"/>
      <c r="U14" s="36">
        <v>40</v>
      </c>
      <c r="V14" s="10"/>
      <c r="W14" s="9" t="s">
        <v>854</v>
      </c>
    </row>
    <row r="15" spans="1:23" s="9" customFormat="1">
      <c r="A15" s="14">
        <f t="shared" si="0"/>
        <v>6</v>
      </c>
      <c r="B15" s="90" t="str">
        <f>HYPERLINK("#"&amp;ADDRESS(MATCH($W15,'SPEC Details'!$A:$A,0),1,,,"SPEC Details"),$W15)</f>
        <v>F301S</v>
      </c>
      <c r="C15" s="90" t="s">
        <v>301</v>
      </c>
      <c r="D15" s="11" t="s">
        <v>830</v>
      </c>
      <c r="E15" s="13"/>
      <c r="F15" s="91" t="s">
        <v>636</v>
      </c>
      <c r="G15" s="89" t="s">
        <v>1133</v>
      </c>
      <c r="H15" s="89" t="s">
        <v>32</v>
      </c>
      <c r="I15" s="11" t="s">
        <v>1178</v>
      </c>
      <c r="J15" s="89" t="s">
        <v>134</v>
      </c>
      <c r="K15" s="89" t="s">
        <v>134</v>
      </c>
      <c r="L15" s="89"/>
      <c r="M15" s="89"/>
      <c r="N15" s="89"/>
      <c r="O15" s="89"/>
      <c r="P15" s="89"/>
      <c r="Q15" s="89"/>
      <c r="R15" s="89"/>
      <c r="S15" s="89"/>
      <c r="T15" s="89"/>
      <c r="U15" s="36">
        <v>40</v>
      </c>
      <c r="V15" s="10"/>
      <c r="W15" s="9" t="s">
        <v>842</v>
      </c>
    </row>
    <row r="16" spans="1:23" s="9" customFormat="1">
      <c r="A16" s="14">
        <f t="shared" si="0"/>
        <v>7</v>
      </c>
      <c r="B16" s="90" t="str">
        <f>HYPERLINK("#"&amp;ADDRESS(MATCH($W16,'SPEC Details'!$A:$A,0),1,,,"SPEC Details"),$W16)</f>
        <v>F301S</v>
      </c>
      <c r="C16" s="90" t="s">
        <v>297</v>
      </c>
      <c r="D16" s="11" t="s">
        <v>830</v>
      </c>
      <c r="E16" s="13"/>
      <c r="F16" s="91" t="s">
        <v>636</v>
      </c>
      <c r="G16" s="89" t="s">
        <v>1134</v>
      </c>
      <c r="H16" s="89" t="s">
        <v>32</v>
      </c>
      <c r="I16" s="11" t="s">
        <v>132</v>
      </c>
      <c r="J16" s="89" t="s">
        <v>134</v>
      </c>
      <c r="K16" s="89" t="s">
        <v>134</v>
      </c>
      <c r="L16" s="89"/>
      <c r="M16" s="89"/>
      <c r="N16" s="89"/>
      <c r="O16" s="89"/>
      <c r="P16" s="89"/>
      <c r="Q16" s="89"/>
      <c r="R16" s="89"/>
      <c r="S16" s="89"/>
      <c r="T16" s="89"/>
      <c r="U16" s="36">
        <v>40</v>
      </c>
      <c r="V16" s="10"/>
      <c r="W16" s="9" t="s">
        <v>842</v>
      </c>
    </row>
    <row r="17" spans="1:23" s="9" customFormat="1">
      <c r="A17" s="14">
        <f t="shared" si="0"/>
        <v>8</v>
      </c>
      <c r="B17" s="90" t="str">
        <f>HYPERLINK("#"&amp;ADDRESS(MATCH($W17,'SPEC Details'!$A:$A,0),1,,,"SPEC Details"),$W17)</f>
        <v>F301S</v>
      </c>
      <c r="C17" s="90" t="s">
        <v>299</v>
      </c>
      <c r="D17" s="11" t="s">
        <v>830</v>
      </c>
      <c r="E17" s="13"/>
      <c r="F17" s="91" t="s">
        <v>636</v>
      </c>
      <c r="G17" s="89" t="s">
        <v>1135</v>
      </c>
      <c r="H17" s="89" t="s">
        <v>32</v>
      </c>
      <c r="I17" s="11" t="s">
        <v>19</v>
      </c>
      <c r="J17" s="89" t="s">
        <v>134</v>
      </c>
      <c r="K17" s="89" t="s">
        <v>134</v>
      </c>
      <c r="L17" s="89"/>
      <c r="M17" s="89"/>
      <c r="N17" s="89"/>
      <c r="O17" s="89"/>
      <c r="P17" s="89"/>
      <c r="Q17" s="89"/>
      <c r="R17" s="89"/>
      <c r="S17" s="89"/>
      <c r="T17" s="89"/>
      <c r="U17" s="36">
        <v>40</v>
      </c>
      <c r="V17" s="10"/>
      <c r="W17" s="9" t="s">
        <v>842</v>
      </c>
    </row>
    <row r="18" spans="1:23" s="9" customFormat="1">
      <c r="A18" s="14"/>
      <c r="B18" s="90" t="str">
        <f>HYPERLINK("#"&amp;ADDRESS(MATCH($W18,'SPEC Details'!$A:$A,0),1,,,"SPEC Details"),$W18)</f>
        <v>F301S</v>
      </c>
      <c r="C18" s="90" t="s">
        <v>959</v>
      </c>
      <c r="D18" s="11" t="s">
        <v>830</v>
      </c>
      <c r="E18" s="13"/>
      <c r="F18" s="91" t="s">
        <v>636</v>
      </c>
      <c r="G18" s="89" t="s">
        <v>811</v>
      </c>
      <c r="H18" s="89" t="s">
        <v>32</v>
      </c>
      <c r="I18" s="11" t="s">
        <v>784</v>
      </c>
      <c r="J18" s="89" t="s">
        <v>134</v>
      </c>
      <c r="K18" s="89" t="s">
        <v>134</v>
      </c>
      <c r="L18" s="89"/>
      <c r="M18" s="89"/>
      <c r="N18" s="89"/>
      <c r="O18" s="89"/>
      <c r="P18" s="89"/>
      <c r="Q18" s="89"/>
      <c r="R18" s="89"/>
      <c r="S18" s="89"/>
      <c r="T18" s="89"/>
      <c r="U18" s="36">
        <v>40</v>
      </c>
      <c r="V18" s="10"/>
      <c r="W18" s="9" t="s">
        <v>842</v>
      </c>
    </row>
    <row r="19" spans="1:23" s="9" customFormat="1">
      <c r="A19" s="14"/>
      <c r="B19" s="90" t="str">
        <f>HYPERLINK("#"&amp;ADDRESS(MATCH($W19,'SPEC Details'!$A:$A,0),1,,,"SPEC Details"),$W19)</f>
        <v>F301S</v>
      </c>
      <c r="C19" s="90" t="s">
        <v>982</v>
      </c>
      <c r="D19" s="89" t="s">
        <v>830</v>
      </c>
      <c r="E19" s="90"/>
      <c r="F19" s="91" t="s">
        <v>985</v>
      </c>
      <c r="G19" s="89" t="s">
        <v>1136</v>
      </c>
      <c r="H19" s="89" t="s">
        <v>32</v>
      </c>
      <c r="I19" s="89" t="s">
        <v>125</v>
      </c>
      <c r="J19" s="89" t="s">
        <v>134</v>
      </c>
      <c r="K19" s="89" t="s">
        <v>134</v>
      </c>
      <c r="L19" s="89"/>
      <c r="M19" s="89"/>
      <c r="N19" s="89"/>
      <c r="O19" s="89"/>
      <c r="P19" s="89"/>
      <c r="Q19" s="89"/>
      <c r="R19" s="89"/>
      <c r="S19" s="89"/>
      <c r="T19" s="89"/>
      <c r="U19" s="92">
        <v>40</v>
      </c>
      <c r="V19" s="10"/>
      <c r="W19" s="9" t="s">
        <v>842</v>
      </c>
    </row>
    <row r="20" spans="1:23" s="9" customFormat="1">
      <c r="A20" s="14">
        <f t="shared" si="0"/>
        <v>11</v>
      </c>
      <c r="B20" s="90" t="str">
        <f>HYPERLINK("#"&amp;ADDRESS(MATCH($W20,'SPEC Details'!$A:$A,0),1,,,"SPEC Details"),$W20)</f>
        <v>F401S</v>
      </c>
      <c r="C20" s="90" t="s">
        <v>206</v>
      </c>
      <c r="D20" s="11" t="s">
        <v>830</v>
      </c>
      <c r="E20" s="13"/>
      <c r="F20" s="91" t="s">
        <v>636</v>
      </c>
      <c r="G20" s="89" t="s">
        <v>1137</v>
      </c>
      <c r="H20" s="89" t="s">
        <v>32</v>
      </c>
      <c r="I20" s="11" t="s">
        <v>120</v>
      </c>
      <c r="J20" s="89" t="s">
        <v>134</v>
      </c>
      <c r="K20" s="89" t="s">
        <v>134</v>
      </c>
      <c r="L20" s="89"/>
      <c r="M20" s="89"/>
      <c r="N20" s="89"/>
      <c r="O20" s="89"/>
      <c r="P20" s="89"/>
      <c r="Q20" s="89"/>
      <c r="R20" s="89"/>
      <c r="S20" s="89"/>
      <c r="T20" s="89"/>
      <c r="U20" s="36">
        <v>60</v>
      </c>
      <c r="V20" s="10"/>
      <c r="W20" s="9" t="s">
        <v>867</v>
      </c>
    </row>
    <row r="21" spans="1:23" s="9" customFormat="1">
      <c r="A21" s="14">
        <f t="shared" si="0"/>
        <v>12</v>
      </c>
      <c r="B21" s="90" t="str">
        <f>HYPERLINK("#"&amp;ADDRESS(MATCH($W21,'SPEC Details'!$A:$A,0),1,,,"SPEC Details"),$W21)</f>
        <v>F401S</v>
      </c>
      <c r="C21" s="90" t="s">
        <v>203</v>
      </c>
      <c r="D21" s="11" t="s">
        <v>830</v>
      </c>
      <c r="E21" s="13"/>
      <c r="F21" s="91" t="s">
        <v>636</v>
      </c>
      <c r="G21" s="89" t="s">
        <v>1138</v>
      </c>
      <c r="H21" s="89" t="s">
        <v>32</v>
      </c>
      <c r="I21" s="11" t="s">
        <v>132</v>
      </c>
      <c r="J21" s="89" t="s">
        <v>134</v>
      </c>
      <c r="K21" s="89" t="s">
        <v>134</v>
      </c>
      <c r="L21" s="89"/>
      <c r="M21" s="89"/>
      <c r="N21" s="89"/>
      <c r="O21" s="89"/>
      <c r="P21" s="89"/>
      <c r="Q21" s="89"/>
      <c r="R21" s="89"/>
      <c r="S21" s="89"/>
      <c r="T21" s="89"/>
      <c r="U21" s="36">
        <v>60</v>
      </c>
      <c r="V21" s="10"/>
      <c r="W21" s="9" t="s">
        <v>867</v>
      </c>
    </row>
    <row r="22" spans="1:23" s="9" customFormat="1">
      <c r="A22" s="14">
        <f t="shared" si="0"/>
        <v>13</v>
      </c>
      <c r="B22" s="90" t="str">
        <f>HYPERLINK("#"&amp;ADDRESS(MATCH($W22,'SPEC Details'!$A:$A,0),1,,,"SPEC Details"),$W22)</f>
        <v>F401S</v>
      </c>
      <c r="C22" s="90" t="s">
        <v>211</v>
      </c>
      <c r="D22" s="11" t="s">
        <v>830</v>
      </c>
      <c r="E22" s="13"/>
      <c r="F22" s="91" t="s">
        <v>636</v>
      </c>
      <c r="G22" s="89" t="s">
        <v>1139</v>
      </c>
      <c r="H22" s="89" t="s">
        <v>32</v>
      </c>
      <c r="I22" s="11" t="s">
        <v>19</v>
      </c>
      <c r="J22" s="89" t="s">
        <v>134</v>
      </c>
      <c r="K22" s="89" t="s">
        <v>134</v>
      </c>
      <c r="L22" s="89"/>
      <c r="M22" s="89"/>
      <c r="N22" s="89"/>
      <c r="O22" s="89"/>
      <c r="P22" s="89"/>
      <c r="Q22" s="89"/>
      <c r="R22" s="89"/>
      <c r="S22" s="89"/>
      <c r="T22" s="89"/>
      <c r="U22" s="36">
        <v>60</v>
      </c>
      <c r="V22" s="10"/>
      <c r="W22" s="9" t="s">
        <v>867</v>
      </c>
    </row>
    <row r="23" spans="1:23" s="9" customFormat="1">
      <c r="A23" s="14"/>
      <c r="B23" s="90" t="str">
        <f>HYPERLINK("#"&amp;ADDRESS(MATCH($W23,'SPEC Details'!$A:$A,0),1,,,"SPEC Details"),$W23)</f>
        <v>F401S</v>
      </c>
      <c r="C23" s="90" t="s">
        <v>960</v>
      </c>
      <c r="D23" s="11" t="s">
        <v>830</v>
      </c>
      <c r="E23" s="13"/>
      <c r="F23" s="91" t="s">
        <v>636</v>
      </c>
      <c r="G23" s="89" t="s">
        <v>807</v>
      </c>
      <c r="H23" s="89" t="s">
        <v>32</v>
      </c>
      <c r="I23" s="11" t="s">
        <v>784</v>
      </c>
      <c r="J23" s="89" t="s">
        <v>134</v>
      </c>
      <c r="K23" s="89" t="s">
        <v>134</v>
      </c>
      <c r="L23" s="89"/>
      <c r="M23" s="89"/>
      <c r="N23" s="89"/>
      <c r="O23" s="89"/>
      <c r="P23" s="89"/>
      <c r="Q23" s="89"/>
      <c r="R23" s="89"/>
      <c r="S23" s="89"/>
      <c r="T23" s="89"/>
      <c r="U23" s="36">
        <v>60</v>
      </c>
      <c r="V23" s="10"/>
      <c r="W23" s="9" t="s">
        <v>867</v>
      </c>
    </row>
    <row r="24" spans="1:23" s="9" customFormat="1">
      <c r="A24" s="14">
        <f t="shared" si="0"/>
        <v>15</v>
      </c>
      <c r="B24" s="90" t="str">
        <f>HYPERLINK("#"&amp;ADDRESS(MATCH($W24,'SPEC Details'!$A:$A,0),1,,,"SPEC Details"),$W24)</f>
        <v>F401S</v>
      </c>
      <c r="C24" s="90" t="s">
        <v>204</v>
      </c>
      <c r="D24" s="89" t="s">
        <v>830</v>
      </c>
      <c r="E24" s="90"/>
      <c r="F24" s="91" t="s">
        <v>636</v>
      </c>
      <c r="G24" s="89" t="s">
        <v>1140</v>
      </c>
      <c r="H24" s="89" t="s">
        <v>32</v>
      </c>
      <c r="I24" s="89" t="s">
        <v>125</v>
      </c>
      <c r="J24" s="89" t="s">
        <v>134</v>
      </c>
      <c r="K24" s="89" t="s">
        <v>134</v>
      </c>
      <c r="L24" s="89"/>
      <c r="M24" s="89"/>
      <c r="N24" s="89"/>
      <c r="O24" s="89"/>
      <c r="P24" s="89"/>
      <c r="Q24" s="89"/>
      <c r="R24" s="89"/>
      <c r="S24" s="89"/>
      <c r="T24" s="89"/>
      <c r="U24" s="36">
        <v>60</v>
      </c>
      <c r="V24" s="10"/>
      <c r="W24" s="9" t="s">
        <v>867</v>
      </c>
    </row>
    <row r="25" spans="1:23" s="9" customFormat="1">
      <c r="A25" s="14">
        <f t="shared" si="0"/>
        <v>16</v>
      </c>
      <c r="B25" s="90" t="str">
        <f>HYPERLINK("#"&amp;ADDRESS(MATCH($W25,'SPEC Details'!$A:$A,0),1,,,"SPEC Details"),$W25)</f>
        <v>F501S</v>
      </c>
      <c r="C25" s="90" t="s">
        <v>220</v>
      </c>
      <c r="D25" s="11" t="s">
        <v>830</v>
      </c>
      <c r="E25" s="13"/>
      <c r="F25" s="91" t="s">
        <v>636</v>
      </c>
      <c r="G25" s="89" t="s">
        <v>1141</v>
      </c>
      <c r="H25" s="89" t="s">
        <v>32</v>
      </c>
      <c r="I25" s="11" t="s">
        <v>120</v>
      </c>
      <c r="J25" s="89" t="s">
        <v>134</v>
      </c>
      <c r="K25" s="89" t="s">
        <v>134</v>
      </c>
      <c r="L25" s="89"/>
      <c r="M25" s="89"/>
      <c r="N25" s="89"/>
      <c r="O25" s="89"/>
      <c r="P25" s="89"/>
      <c r="Q25" s="89"/>
      <c r="R25" s="89"/>
      <c r="S25" s="89"/>
      <c r="T25" s="89"/>
      <c r="U25" s="36">
        <v>50</v>
      </c>
      <c r="V25" s="10"/>
      <c r="W25" s="9" t="s">
        <v>835</v>
      </c>
    </row>
    <row r="26" spans="1:23" s="9" customFormat="1">
      <c r="A26" s="14">
        <f t="shared" si="0"/>
        <v>17</v>
      </c>
      <c r="B26" s="90" t="str">
        <f>HYPERLINK("#"&amp;ADDRESS(MATCH($W26,'SPEC Details'!$A:$A,0),1,,,"SPEC Details"),$W26)</f>
        <v>F501S</v>
      </c>
      <c r="C26" s="90" t="s">
        <v>199</v>
      </c>
      <c r="D26" s="11" t="s">
        <v>830</v>
      </c>
      <c r="E26" s="13"/>
      <c r="F26" s="91" t="s">
        <v>636</v>
      </c>
      <c r="G26" s="89" t="s">
        <v>1142</v>
      </c>
      <c r="H26" s="89" t="s">
        <v>32</v>
      </c>
      <c r="I26" s="11" t="s">
        <v>132</v>
      </c>
      <c r="J26" s="89" t="s">
        <v>134</v>
      </c>
      <c r="K26" s="89" t="s">
        <v>134</v>
      </c>
      <c r="L26" s="89"/>
      <c r="M26" s="89"/>
      <c r="N26" s="89"/>
      <c r="O26" s="89"/>
      <c r="P26" s="89"/>
      <c r="Q26" s="89"/>
      <c r="R26" s="89"/>
      <c r="S26" s="89"/>
      <c r="T26" s="89"/>
      <c r="U26" s="36">
        <v>50</v>
      </c>
      <c r="V26" s="10"/>
      <c r="W26" s="9" t="s">
        <v>835</v>
      </c>
    </row>
    <row r="27" spans="1:23" s="9" customFormat="1">
      <c r="A27" s="14">
        <f t="shared" si="0"/>
        <v>18</v>
      </c>
      <c r="B27" s="90" t="str">
        <f>HYPERLINK("#"&amp;ADDRESS(MATCH($W27,'SPEC Details'!$A:$A,0),1,,,"SPEC Details"),$W27)</f>
        <v>F501S</v>
      </c>
      <c r="C27" s="90" t="s">
        <v>215</v>
      </c>
      <c r="D27" s="11" t="s">
        <v>830</v>
      </c>
      <c r="E27" s="13"/>
      <c r="F27" s="91" t="s">
        <v>636</v>
      </c>
      <c r="G27" s="89" t="s">
        <v>1143</v>
      </c>
      <c r="H27" s="89" t="s">
        <v>32</v>
      </c>
      <c r="I27" s="11" t="s">
        <v>19</v>
      </c>
      <c r="J27" s="89" t="s">
        <v>134</v>
      </c>
      <c r="K27" s="89" t="s">
        <v>134</v>
      </c>
      <c r="L27" s="89"/>
      <c r="M27" s="89"/>
      <c r="N27" s="89"/>
      <c r="O27" s="89"/>
      <c r="P27" s="89"/>
      <c r="Q27" s="89"/>
      <c r="R27" s="89"/>
      <c r="S27" s="89"/>
      <c r="T27" s="89"/>
      <c r="U27" s="36">
        <v>50</v>
      </c>
      <c r="V27" s="10"/>
      <c r="W27" s="9" t="s">
        <v>835</v>
      </c>
    </row>
    <row r="28" spans="1:23" s="9" customFormat="1">
      <c r="A28" s="14"/>
      <c r="B28" s="90" t="str">
        <f>HYPERLINK("#"&amp;ADDRESS(MATCH($W28,'SPEC Details'!$A:$A,0),1,,,"SPEC Details"),$W28)</f>
        <v>F501S</v>
      </c>
      <c r="C28" s="90" t="s">
        <v>961</v>
      </c>
      <c r="D28" s="11" t="s">
        <v>830</v>
      </c>
      <c r="E28" s="13"/>
      <c r="F28" s="91" t="s">
        <v>636</v>
      </c>
      <c r="G28" s="89" t="s">
        <v>821</v>
      </c>
      <c r="H28" s="89" t="s">
        <v>32</v>
      </c>
      <c r="I28" s="11" t="s">
        <v>784</v>
      </c>
      <c r="J28" s="89" t="s">
        <v>134</v>
      </c>
      <c r="K28" s="89" t="s">
        <v>134</v>
      </c>
      <c r="L28" s="89"/>
      <c r="M28" s="89"/>
      <c r="N28" s="89"/>
      <c r="O28" s="89"/>
      <c r="P28" s="89"/>
      <c r="Q28" s="89"/>
      <c r="R28" s="89"/>
      <c r="S28" s="89"/>
      <c r="T28" s="89"/>
      <c r="U28" s="36">
        <v>50</v>
      </c>
      <c r="V28" s="10"/>
      <c r="W28" s="9" t="s">
        <v>835</v>
      </c>
    </row>
    <row r="29" spans="1:23" s="9" customFormat="1">
      <c r="A29" s="14"/>
      <c r="B29" s="90" t="str">
        <f>HYPERLINK("#"&amp;ADDRESS(MATCH($W29,'SPEC Details'!$A:$A,0),1,,,"SPEC Details"),$W29)</f>
        <v>F501S</v>
      </c>
      <c r="C29" s="90" t="s">
        <v>983</v>
      </c>
      <c r="D29" s="89" t="s">
        <v>830</v>
      </c>
      <c r="E29" s="90"/>
      <c r="F29" s="91" t="s">
        <v>1176</v>
      </c>
      <c r="G29" s="89" t="s">
        <v>1144</v>
      </c>
      <c r="H29" s="89" t="s">
        <v>1177</v>
      </c>
      <c r="I29" s="89" t="s">
        <v>125</v>
      </c>
      <c r="J29" s="89" t="s">
        <v>134</v>
      </c>
      <c r="K29" s="89" t="s">
        <v>134</v>
      </c>
      <c r="L29" s="89"/>
      <c r="M29" s="89"/>
      <c r="N29" s="89"/>
      <c r="O29" s="89"/>
      <c r="P29" s="89"/>
      <c r="Q29" s="89"/>
      <c r="R29" s="89"/>
      <c r="S29" s="89"/>
      <c r="T29" s="89"/>
      <c r="U29" s="92">
        <v>50</v>
      </c>
      <c r="V29" s="10"/>
      <c r="W29" s="9" t="s">
        <v>835</v>
      </c>
    </row>
    <row r="30" spans="1:23" s="9" customFormat="1">
      <c r="A30" s="14">
        <f t="shared" si="0"/>
        <v>21</v>
      </c>
      <c r="B30" s="90" t="str">
        <f>HYPERLINK("#"&amp;ADDRESS(MATCH($W30,'SPEC Details'!$A:$A,0),1,,,"SPEC Details"),$W30)</f>
        <v>F601S</v>
      </c>
      <c r="C30" s="90" t="s">
        <v>198</v>
      </c>
      <c r="D30" s="11" t="s">
        <v>830</v>
      </c>
      <c r="E30" s="13"/>
      <c r="F30" s="12" t="s">
        <v>627</v>
      </c>
      <c r="G30" s="89" t="s">
        <v>1145</v>
      </c>
      <c r="H30" s="11" t="s">
        <v>28</v>
      </c>
      <c r="I30" s="11" t="s">
        <v>120</v>
      </c>
      <c r="J30" s="89" t="s">
        <v>134</v>
      </c>
      <c r="K30" s="89" t="s">
        <v>134</v>
      </c>
      <c r="L30" s="89"/>
      <c r="M30" s="89"/>
      <c r="N30" s="89"/>
      <c r="O30" s="89"/>
      <c r="P30" s="89"/>
      <c r="Q30" s="89"/>
      <c r="R30" s="89"/>
      <c r="S30" s="89"/>
      <c r="T30" s="89"/>
      <c r="U30" s="36">
        <v>100</v>
      </c>
      <c r="V30" s="10"/>
      <c r="W30" s="9" t="s">
        <v>853</v>
      </c>
    </row>
    <row r="31" spans="1:23" s="9" customFormat="1">
      <c r="A31" s="14">
        <f t="shared" si="0"/>
        <v>22</v>
      </c>
      <c r="B31" s="90" t="str">
        <f>HYPERLINK("#"&amp;ADDRESS(MATCH($W31,'SPEC Details'!$A:$A,0),1,,,"SPEC Details"),$W31)</f>
        <v>F601S</v>
      </c>
      <c r="C31" s="90" t="s">
        <v>221</v>
      </c>
      <c r="D31" s="11" t="s">
        <v>830</v>
      </c>
      <c r="E31" s="13"/>
      <c r="F31" s="12" t="s">
        <v>627</v>
      </c>
      <c r="G31" s="89" t="s">
        <v>1146</v>
      </c>
      <c r="H31" s="11" t="s">
        <v>28</v>
      </c>
      <c r="I31" s="11" t="s">
        <v>132</v>
      </c>
      <c r="J31" s="89" t="s">
        <v>134</v>
      </c>
      <c r="K31" s="89" t="s">
        <v>134</v>
      </c>
      <c r="L31" s="89"/>
      <c r="M31" s="89"/>
      <c r="N31" s="89"/>
      <c r="O31" s="89"/>
      <c r="P31" s="89"/>
      <c r="Q31" s="89"/>
      <c r="R31" s="89"/>
      <c r="S31" s="89"/>
      <c r="T31" s="89"/>
      <c r="U31" s="36">
        <v>100</v>
      </c>
      <c r="V31" s="10"/>
      <c r="W31" s="9" t="s">
        <v>853</v>
      </c>
    </row>
    <row r="32" spans="1:23" s="9" customFormat="1">
      <c r="A32" s="14">
        <f t="shared" si="0"/>
        <v>23</v>
      </c>
      <c r="B32" s="88" t="str">
        <f>HYPERLINK("#"&amp;ADDRESS(MATCH($W32,'SPEC Details'!$A:$A,0),1,,,"SPEC Details"),$W32)</f>
        <v>F601S</v>
      </c>
      <c r="C32" s="88" t="s">
        <v>219</v>
      </c>
      <c r="D32" s="209" t="s">
        <v>1187</v>
      </c>
      <c r="E32" s="88"/>
      <c r="F32" s="210" t="s">
        <v>627</v>
      </c>
      <c r="G32" s="209" t="s">
        <v>1147</v>
      </c>
      <c r="H32" s="209" t="s">
        <v>28</v>
      </c>
      <c r="I32" s="209" t="s">
        <v>19</v>
      </c>
      <c r="J32" s="209" t="s">
        <v>1179</v>
      </c>
      <c r="K32" s="209" t="s">
        <v>134</v>
      </c>
      <c r="L32" s="209"/>
      <c r="M32" s="209"/>
      <c r="N32" s="209"/>
      <c r="O32" s="209"/>
      <c r="P32" s="209"/>
      <c r="Q32" s="209"/>
      <c r="R32" s="209"/>
      <c r="S32" s="209"/>
      <c r="T32" s="209"/>
      <c r="U32" s="211">
        <v>100</v>
      </c>
      <c r="V32" s="212"/>
      <c r="W32" s="9" t="s">
        <v>853</v>
      </c>
    </row>
    <row r="33" spans="1:23" s="9" customFormat="1" ht="12" thickBot="1">
      <c r="A33" s="14"/>
      <c r="B33" s="213" t="str">
        <f>HYPERLINK("#"&amp;ADDRESS(MATCH($W33,'SPEC Details'!$A:$A,0),1,,,"SPEC Details"),$W33)</f>
        <v>CC000</v>
      </c>
      <c r="C33" s="213" t="s">
        <v>1186</v>
      </c>
      <c r="D33" s="214" t="s">
        <v>1187</v>
      </c>
      <c r="E33" s="213"/>
      <c r="F33" s="215" t="s">
        <v>1176</v>
      </c>
      <c r="G33" s="214" t="s">
        <v>1175</v>
      </c>
      <c r="H33" s="214" t="s">
        <v>1177</v>
      </c>
      <c r="I33" s="214" t="s">
        <v>1178</v>
      </c>
      <c r="J33" s="214" t="s">
        <v>1179</v>
      </c>
      <c r="K33" s="214" t="s">
        <v>1179</v>
      </c>
      <c r="L33" s="214"/>
      <c r="M33" s="214"/>
      <c r="N33" s="214"/>
      <c r="O33" s="214"/>
      <c r="P33" s="214"/>
      <c r="Q33" s="214"/>
      <c r="R33" s="214"/>
      <c r="S33" s="214"/>
      <c r="T33" s="214"/>
      <c r="U33" s="216">
        <v>50</v>
      </c>
      <c r="V33" s="217"/>
      <c r="W33" s="9" t="s">
        <v>1175</v>
      </c>
    </row>
    <row r="34" spans="1:23" s="9" customFormat="1" ht="22.5">
      <c r="A34" s="14">
        <f t="shared" ref="A34:A46" si="1">ROW(A34)-9</f>
        <v>25</v>
      </c>
      <c r="B34" s="81" t="str">
        <f>HYPERLINK("#"&amp;ADDRESS(MATCH($W34,'SPEC Details'!$A:$A,0),1,,,"SPEC Details"),$W34)</f>
        <v>BV03S</v>
      </c>
      <c r="C34" s="81" t="s">
        <v>1618</v>
      </c>
      <c r="D34" s="115" t="s">
        <v>830</v>
      </c>
      <c r="E34" s="81"/>
      <c r="F34" s="82" t="s">
        <v>636</v>
      </c>
      <c r="G34" s="115" t="s">
        <v>1148</v>
      </c>
      <c r="H34" s="115" t="s">
        <v>32</v>
      </c>
      <c r="I34" s="115" t="s">
        <v>120</v>
      </c>
      <c r="J34" s="81"/>
      <c r="K34" s="115"/>
      <c r="L34" s="115"/>
      <c r="M34" s="115"/>
      <c r="N34" s="38"/>
      <c r="O34" s="38"/>
      <c r="P34" s="115" t="s">
        <v>134</v>
      </c>
      <c r="Q34" s="115" t="s">
        <v>134</v>
      </c>
      <c r="R34" s="115"/>
      <c r="S34" s="115"/>
      <c r="T34" s="115"/>
      <c r="U34" s="83">
        <v>70</v>
      </c>
      <c r="V34" s="112" t="s">
        <v>1510</v>
      </c>
      <c r="W34" s="9" t="s">
        <v>875</v>
      </c>
    </row>
    <row r="35" spans="1:23" s="9" customFormat="1" ht="22.5">
      <c r="A35" s="14">
        <f t="shared" si="1"/>
        <v>26</v>
      </c>
      <c r="B35" s="90" t="str">
        <f>HYPERLINK("#"&amp;ADDRESS(MATCH($W35,'SPEC Details'!$A:$A,0),1,,,"SPEC Details"),$W35)</f>
        <v>BW03S</v>
      </c>
      <c r="C35" s="90" t="s">
        <v>1545</v>
      </c>
      <c r="D35" s="89" t="s">
        <v>830</v>
      </c>
      <c r="E35" s="90"/>
      <c r="F35" s="91" t="s">
        <v>636</v>
      </c>
      <c r="G35" s="89" t="s">
        <v>1149</v>
      </c>
      <c r="H35" s="89" t="s">
        <v>32</v>
      </c>
      <c r="I35" s="89" t="s">
        <v>120</v>
      </c>
      <c r="J35" s="90"/>
      <c r="K35" s="89"/>
      <c r="L35" s="89"/>
      <c r="M35" s="89"/>
      <c r="N35" s="14"/>
      <c r="O35" s="14"/>
      <c r="P35" s="89" t="s">
        <v>134</v>
      </c>
      <c r="Q35" s="89" t="s">
        <v>134</v>
      </c>
      <c r="R35" s="89"/>
      <c r="S35" s="89"/>
      <c r="T35" s="89"/>
      <c r="U35" s="92">
        <v>50</v>
      </c>
      <c r="V35" s="112" t="s">
        <v>1510</v>
      </c>
      <c r="W35" s="9" t="s">
        <v>865</v>
      </c>
    </row>
    <row r="36" spans="1:23" s="9" customFormat="1">
      <c r="A36" s="14">
        <f t="shared" si="1"/>
        <v>27</v>
      </c>
      <c r="B36" s="205" t="str">
        <f>HYPERLINK("#"&amp;ADDRESS(MATCH($W36,'SPEC Details'!$A:$A,0),1,,,"SPEC Details"),$W36)</f>
        <v>F803S</v>
      </c>
      <c r="C36" s="205" t="s">
        <v>1544</v>
      </c>
      <c r="D36" s="334" t="s">
        <v>830</v>
      </c>
      <c r="E36" s="205"/>
      <c r="F36" s="335" t="s">
        <v>627</v>
      </c>
      <c r="G36" s="334" t="s">
        <v>1108</v>
      </c>
      <c r="H36" s="334" t="s">
        <v>28</v>
      </c>
      <c r="I36" s="334" t="s">
        <v>120</v>
      </c>
      <c r="J36" s="205"/>
      <c r="K36" s="334"/>
      <c r="L36" s="334"/>
      <c r="M36" s="334"/>
      <c r="N36" s="342"/>
      <c r="O36" s="342"/>
      <c r="P36" s="334" t="s">
        <v>134</v>
      </c>
      <c r="Q36" s="334" t="s">
        <v>134</v>
      </c>
      <c r="R36" s="334"/>
      <c r="S36" s="334"/>
      <c r="T36" s="334"/>
      <c r="U36" s="336">
        <v>160</v>
      </c>
      <c r="V36" s="112"/>
      <c r="W36" s="9" t="s">
        <v>833</v>
      </c>
    </row>
    <row r="37" spans="1:23" s="9" customFormat="1">
      <c r="A37" s="14">
        <f>ROW(A37)-9</f>
        <v>28</v>
      </c>
      <c r="B37" s="90" t="str">
        <f>HYPERLINK("#"&amp;ADDRESS(MATCH($W37,'SPEC Details'!$A:$A,0),1,,,"SPEC Details"),$W37)</f>
        <v>L503S</v>
      </c>
      <c r="C37" s="90" t="s">
        <v>1512</v>
      </c>
      <c r="D37" s="89" t="s">
        <v>830</v>
      </c>
      <c r="E37" s="90"/>
      <c r="F37" s="91" t="s">
        <v>636</v>
      </c>
      <c r="G37" s="89" t="s">
        <v>1150</v>
      </c>
      <c r="H37" s="89" t="s">
        <v>32</v>
      </c>
      <c r="I37" s="89" t="s">
        <v>120</v>
      </c>
      <c r="J37" s="90"/>
      <c r="K37" s="89"/>
      <c r="L37" s="89"/>
      <c r="M37" s="89"/>
      <c r="N37" s="89"/>
      <c r="O37" s="89"/>
      <c r="P37" s="89" t="s">
        <v>134</v>
      </c>
      <c r="Q37" s="89" t="s">
        <v>134</v>
      </c>
      <c r="R37" s="89"/>
      <c r="S37" s="89"/>
      <c r="T37" s="89"/>
      <c r="U37" s="92">
        <v>70</v>
      </c>
      <c r="V37" s="112" t="s">
        <v>1510</v>
      </c>
      <c r="W37" s="9" t="s">
        <v>860</v>
      </c>
    </row>
    <row r="38" spans="1:23" s="9" customFormat="1">
      <c r="A38" s="14">
        <f t="shared" si="1"/>
        <v>29</v>
      </c>
      <c r="B38" s="90" t="str">
        <f>HYPERLINK("#"&amp;ADDRESS(MATCH($W38,'SPEC Details'!$A:$A,0),1,,,"SPEC Details"),$W38)</f>
        <v>M803S</v>
      </c>
      <c r="C38" s="90" t="s">
        <v>1652</v>
      </c>
      <c r="D38" s="89" t="s">
        <v>830</v>
      </c>
      <c r="E38" s="90"/>
      <c r="F38" s="91" t="s">
        <v>627</v>
      </c>
      <c r="G38" s="89" t="s">
        <v>1667</v>
      </c>
      <c r="H38" s="89" t="s">
        <v>28</v>
      </c>
      <c r="I38" s="89" t="s">
        <v>120</v>
      </c>
      <c r="J38" s="90"/>
      <c r="K38" s="89"/>
      <c r="L38" s="89"/>
      <c r="M38" s="89"/>
      <c r="N38" s="14"/>
      <c r="O38" s="14"/>
      <c r="P38" s="89" t="s">
        <v>134</v>
      </c>
      <c r="Q38" s="89" t="s">
        <v>134</v>
      </c>
      <c r="R38" s="89"/>
      <c r="S38" s="89"/>
      <c r="T38" s="89"/>
      <c r="U38" s="92">
        <v>130</v>
      </c>
      <c r="V38" s="112"/>
      <c r="W38" s="9" t="s">
        <v>848</v>
      </c>
    </row>
    <row r="39" spans="1:23" s="9" customFormat="1">
      <c r="A39" s="14">
        <f t="shared" si="1"/>
        <v>30</v>
      </c>
      <c r="B39" s="205" t="str">
        <f>HYPERLINK("#"&amp;ADDRESS(MATCH($W39,'SPEC Details'!$A:$A,0),1,,,"SPEC Details"),$W39)</f>
        <v>N803S</v>
      </c>
      <c r="C39" s="205" t="s">
        <v>1653</v>
      </c>
      <c r="D39" s="334" t="s">
        <v>830</v>
      </c>
      <c r="E39" s="205"/>
      <c r="F39" s="335" t="s">
        <v>627</v>
      </c>
      <c r="G39" s="334" t="s">
        <v>1668</v>
      </c>
      <c r="H39" s="334" t="s">
        <v>28</v>
      </c>
      <c r="I39" s="334" t="s">
        <v>120</v>
      </c>
      <c r="J39" s="205"/>
      <c r="K39" s="334"/>
      <c r="L39" s="334"/>
      <c r="M39" s="334"/>
      <c r="N39" s="342"/>
      <c r="O39" s="342"/>
      <c r="P39" s="334" t="s">
        <v>134</v>
      </c>
      <c r="Q39" s="334" t="s">
        <v>134</v>
      </c>
      <c r="R39" s="334"/>
      <c r="S39" s="334"/>
      <c r="T39" s="334"/>
      <c r="U39" s="336">
        <v>250</v>
      </c>
      <c r="V39" s="112"/>
      <c r="W39" s="9" t="s">
        <v>861</v>
      </c>
    </row>
    <row r="40" spans="1:23" s="9" customFormat="1">
      <c r="A40" s="14">
        <f t="shared" si="1"/>
        <v>31</v>
      </c>
      <c r="B40" s="90" t="str">
        <f>HYPERLINK("#"&amp;ADDRESS(MATCH($W40,'SPEC Details'!$A:$A,0),1,,,"SPEC Details"),$W40)</f>
        <v>P603S</v>
      </c>
      <c r="C40" s="90" t="s">
        <v>569</v>
      </c>
      <c r="D40" s="11" t="s">
        <v>830</v>
      </c>
      <c r="E40" s="13"/>
      <c r="F40" s="12" t="s">
        <v>627</v>
      </c>
      <c r="G40" s="89" t="s">
        <v>1151</v>
      </c>
      <c r="H40" s="11" t="s">
        <v>28</v>
      </c>
      <c r="I40" s="11" t="s">
        <v>120</v>
      </c>
      <c r="J40" s="13"/>
      <c r="K40" s="89"/>
      <c r="L40" s="89"/>
      <c r="M40" s="89"/>
      <c r="N40" s="14"/>
      <c r="O40" s="14"/>
      <c r="P40" s="89" t="s">
        <v>134</v>
      </c>
      <c r="Q40" s="89" t="s">
        <v>134</v>
      </c>
      <c r="R40" s="89"/>
      <c r="S40" s="89"/>
      <c r="T40" s="89"/>
      <c r="U40" s="36">
        <v>60</v>
      </c>
      <c r="V40" s="112"/>
      <c r="W40" s="9" t="s">
        <v>858</v>
      </c>
    </row>
    <row r="41" spans="1:23" s="9" customFormat="1">
      <c r="A41" s="14">
        <f t="shared" si="1"/>
        <v>32</v>
      </c>
      <c r="B41" s="90" t="str">
        <f>HYPERLINK("#"&amp;ADDRESS(MATCH($W41,'SPEC Details'!$A:$A,0),1,,,"SPEC Details"),$W41)</f>
        <v>P703S</v>
      </c>
      <c r="C41" s="90" t="s">
        <v>902</v>
      </c>
      <c r="D41" s="11" t="s">
        <v>830</v>
      </c>
      <c r="E41" s="13"/>
      <c r="F41" s="12" t="s">
        <v>627</v>
      </c>
      <c r="G41" s="89" t="s">
        <v>1152</v>
      </c>
      <c r="H41" s="11" t="s">
        <v>28</v>
      </c>
      <c r="I41" s="11" t="s">
        <v>120</v>
      </c>
      <c r="J41" s="13"/>
      <c r="K41" s="89"/>
      <c r="L41" s="89"/>
      <c r="M41" s="89"/>
      <c r="N41" s="89"/>
      <c r="O41" s="89"/>
      <c r="P41" s="89" t="s">
        <v>134</v>
      </c>
      <c r="Q41" s="89" t="s">
        <v>134</v>
      </c>
      <c r="R41" s="89"/>
      <c r="S41" s="89"/>
      <c r="T41" s="89"/>
      <c r="U41" s="36">
        <v>60</v>
      </c>
      <c r="V41" s="112" t="s">
        <v>1510</v>
      </c>
      <c r="W41" s="9" t="s">
        <v>870</v>
      </c>
    </row>
    <row r="42" spans="1:23" s="9" customFormat="1">
      <c r="A42" s="14">
        <f t="shared" si="1"/>
        <v>33</v>
      </c>
      <c r="B42" s="90" t="str">
        <f>HYPERLINK("#"&amp;ADDRESS(MATCH($W42,'SPEC Details'!$A:$A,0),1,,,"SPEC Details"),$W42)</f>
        <v>Q403S</v>
      </c>
      <c r="C42" s="90" t="s">
        <v>234</v>
      </c>
      <c r="D42" s="11" t="s">
        <v>830</v>
      </c>
      <c r="E42" s="13"/>
      <c r="F42" s="12" t="s">
        <v>627</v>
      </c>
      <c r="G42" s="89" t="s">
        <v>1109</v>
      </c>
      <c r="H42" s="11" t="s">
        <v>28</v>
      </c>
      <c r="I42" s="11" t="s">
        <v>120</v>
      </c>
      <c r="J42" s="13"/>
      <c r="K42" s="89"/>
      <c r="L42" s="89"/>
      <c r="M42" s="89"/>
      <c r="N42" s="14"/>
      <c r="O42" s="14"/>
      <c r="P42" s="89" t="s">
        <v>134</v>
      </c>
      <c r="Q42" s="89" t="s">
        <v>134</v>
      </c>
      <c r="R42" s="89"/>
      <c r="S42" s="89"/>
      <c r="T42" s="89"/>
      <c r="U42" s="36">
        <v>200</v>
      </c>
      <c r="V42" s="112"/>
      <c r="W42" s="9" t="s">
        <v>880</v>
      </c>
    </row>
    <row r="43" spans="1:23" s="9" customFormat="1">
      <c r="A43" s="14">
        <f t="shared" si="1"/>
        <v>34</v>
      </c>
      <c r="B43" s="90" t="str">
        <f>HYPERLINK("#"&amp;ADDRESS(MATCH($W43,'SPEC Details'!$A:$A,0),1,,,"SPEC Details"),$W43)</f>
        <v>Q503S</v>
      </c>
      <c r="C43" s="90" t="s">
        <v>1202</v>
      </c>
      <c r="D43" s="89" t="s">
        <v>830</v>
      </c>
      <c r="E43" s="90"/>
      <c r="F43" s="91" t="s">
        <v>627</v>
      </c>
      <c r="G43" s="89" t="s">
        <v>1153</v>
      </c>
      <c r="H43" s="89" t="s">
        <v>28</v>
      </c>
      <c r="I43" s="89" t="s">
        <v>120</v>
      </c>
      <c r="J43" s="90"/>
      <c r="K43" s="89"/>
      <c r="L43" s="89"/>
      <c r="M43" s="89"/>
      <c r="N43" s="14"/>
      <c r="O43" s="14"/>
      <c r="P43" s="89" t="s">
        <v>134</v>
      </c>
      <c r="Q43" s="89" t="s">
        <v>134</v>
      </c>
      <c r="R43" s="89"/>
      <c r="S43" s="89"/>
      <c r="T43" s="89"/>
      <c r="U43" s="92">
        <v>200</v>
      </c>
      <c r="V43" s="112"/>
      <c r="W43" s="9" t="s">
        <v>869</v>
      </c>
    </row>
    <row r="44" spans="1:23" s="9" customFormat="1">
      <c r="A44" s="14">
        <f t="shared" si="1"/>
        <v>35</v>
      </c>
      <c r="B44" s="90" t="str">
        <f>HYPERLINK("#"&amp;ADDRESS(MATCH($W44,'SPEC Details'!$A:$A,0),1,,,"SPEC Details"),$W44)</f>
        <v>S104S</v>
      </c>
      <c r="C44" s="90" t="s">
        <v>273</v>
      </c>
      <c r="D44" s="11" t="s">
        <v>830</v>
      </c>
      <c r="E44" s="13"/>
      <c r="F44" s="12" t="s">
        <v>627</v>
      </c>
      <c r="G44" s="89" t="s">
        <v>1154</v>
      </c>
      <c r="H44" s="11" t="s">
        <v>28</v>
      </c>
      <c r="I44" s="11" t="s">
        <v>120</v>
      </c>
      <c r="J44" s="13"/>
      <c r="K44" s="89"/>
      <c r="L44" s="89"/>
      <c r="M44" s="89"/>
      <c r="N44" s="89"/>
      <c r="O44" s="89"/>
      <c r="P44" s="89" t="s">
        <v>134</v>
      </c>
      <c r="Q44" s="89" t="s">
        <v>134</v>
      </c>
      <c r="R44" s="89"/>
      <c r="S44" s="89"/>
      <c r="T44" s="89"/>
      <c r="U44" s="36">
        <v>130</v>
      </c>
      <c r="V44" s="112"/>
      <c r="W44" s="9" t="s">
        <v>868</v>
      </c>
    </row>
    <row r="45" spans="1:23" s="9" customFormat="1">
      <c r="A45" s="14">
        <f t="shared" si="1"/>
        <v>36</v>
      </c>
      <c r="B45" s="90" t="str">
        <f>HYPERLINK("#"&amp;ADDRESS(MATCH($W45,'SPEC Details'!$A:$A,0),1,,,"SPEC Details"),$W45)</f>
        <v>S204S</v>
      </c>
      <c r="C45" s="90" t="s">
        <v>332</v>
      </c>
      <c r="D45" s="89" t="s">
        <v>830</v>
      </c>
      <c r="E45" s="90"/>
      <c r="F45" s="91" t="s">
        <v>627</v>
      </c>
      <c r="G45" s="89" t="s">
        <v>1106</v>
      </c>
      <c r="H45" s="89" t="s">
        <v>28</v>
      </c>
      <c r="I45" s="89" t="s">
        <v>120</v>
      </c>
      <c r="J45" s="90"/>
      <c r="K45" s="89"/>
      <c r="L45" s="89"/>
      <c r="M45" s="89"/>
      <c r="N45" s="89"/>
      <c r="O45" s="89"/>
      <c r="P45" s="89" t="s">
        <v>134</v>
      </c>
      <c r="Q45" s="89" t="s">
        <v>134</v>
      </c>
      <c r="R45" s="89"/>
      <c r="S45" s="89"/>
      <c r="T45" s="89"/>
      <c r="U45" s="92">
        <v>200</v>
      </c>
      <c r="V45" s="112"/>
      <c r="W45" s="9" t="s">
        <v>847</v>
      </c>
    </row>
    <row r="46" spans="1:23" s="9" customFormat="1">
      <c r="A46" s="14">
        <f t="shared" si="1"/>
        <v>37</v>
      </c>
      <c r="B46" s="90" t="str">
        <f>HYPERLINK("#"&amp;ADDRESS(MATCH($W46,'SPEC Details'!$A:$A,0),1,,,"SPEC Details"),$W46)</f>
        <v>S304S</v>
      </c>
      <c r="C46" s="90" t="s">
        <v>1515</v>
      </c>
      <c r="D46" s="89" t="s">
        <v>830</v>
      </c>
      <c r="E46" s="90"/>
      <c r="F46" s="12" t="s">
        <v>636</v>
      </c>
      <c r="G46" s="89" t="s">
        <v>1155</v>
      </c>
      <c r="H46" s="89" t="s">
        <v>32</v>
      </c>
      <c r="I46" s="89" t="s">
        <v>120</v>
      </c>
      <c r="J46" s="90"/>
      <c r="K46" s="89"/>
      <c r="L46" s="89"/>
      <c r="M46" s="89"/>
      <c r="N46" s="89"/>
      <c r="O46" s="89"/>
      <c r="P46" s="89" t="s">
        <v>134</v>
      </c>
      <c r="Q46" s="89" t="s">
        <v>134</v>
      </c>
      <c r="R46" s="89"/>
      <c r="S46" s="89"/>
      <c r="T46" s="89"/>
      <c r="U46" s="92">
        <v>70</v>
      </c>
      <c r="V46" s="112" t="s">
        <v>1510</v>
      </c>
      <c r="W46" s="9" t="s">
        <v>836</v>
      </c>
    </row>
    <row r="47" spans="1:23" s="9" customFormat="1" ht="12" thickBot="1">
      <c r="A47" s="14">
        <f t="shared" ref="A47:A50" si="2">ROW(A47)-9</f>
        <v>38</v>
      </c>
      <c r="B47" s="90" t="str">
        <f>HYPERLINK("#"&amp;ADDRESS(MATCH($W47,'SPEC Details'!$A:$A,0),1,,,"SPEC Details"),$W47)</f>
        <v>X404S</v>
      </c>
      <c r="C47" s="94" t="s">
        <v>542</v>
      </c>
      <c r="D47" s="84" t="s">
        <v>830</v>
      </c>
      <c r="E47" s="85"/>
      <c r="F47" s="86" t="s">
        <v>627</v>
      </c>
      <c r="G47" s="93" t="s">
        <v>1156</v>
      </c>
      <c r="H47" s="84" t="s">
        <v>28</v>
      </c>
      <c r="I47" s="84" t="s">
        <v>120</v>
      </c>
      <c r="J47" s="85"/>
      <c r="K47" s="93"/>
      <c r="L47" s="93"/>
      <c r="M47" s="93"/>
      <c r="N47" s="93"/>
      <c r="O47" s="93"/>
      <c r="P47" s="93" t="s">
        <v>134</v>
      </c>
      <c r="Q47" s="93" t="s">
        <v>134</v>
      </c>
      <c r="R47" s="93"/>
      <c r="S47" s="93"/>
      <c r="T47" s="93"/>
      <c r="U47" s="87">
        <v>100</v>
      </c>
      <c r="V47" s="112"/>
      <c r="W47" s="9" t="s">
        <v>864</v>
      </c>
    </row>
    <row r="48" spans="1:23" s="9" customFormat="1">
      <c r="A48" s="14">
        <f t="shared" si="2"/>
        <v>39</v>
      </c>
      <c r="B48" s="90" t="str">
        <f>HYPERLINK("#"&amp;ADDRESS(MATCH($W48,'SPEC Details'!$A:$A,0),1,,,"SPEC Details"),$W48)</f>
        <v>C702S</v>
      </c>
      <c r="C48" s="88" t="s">
        <v>257</v>
      </c>
      <c r="D48" s="11" t="s">
        <v>830</v>
      </c>
      <c r="E48" s="88"/>
      <c r="F48" s="12" t="s">
        <v>636</v>
      </c>
      <c r="G48" s="89" t="s">
        <v>1120</v>
      </c>
      <c r="H48" s="11" t="s">
        <v>32</v>
      </c>
      <c r="I48" s="11" t="s">
        <v>120</v>
      </c>
      <c r="J48" s="13"/>
      <c r="K48" s="89"/>
      <c r="L48" s="89"/>
      <c r="M48" s="89"/>
      <c r="N48" s="89"/>
      <c r="O48" s="89"/>
      <c r="P48" s="89" t="s">
        <v>134</v>
      </c>
      <c r="Q48" s="89" t="s">
        <v>134</v>
      </c>
      <c r="R48" s="89"/>
      <c r="S48" s="89"/>
      <c r="T48" s="89"/>
      <c r="U48" s="36">
        <v>110</v>
      </c>
      <c r="V48" s="112" t="s">
        <v>1510</v>
      </c>
      <c r="W48" s="9" t="s">
        <v>863</v>
      </c>
    </row>
    <row r="49" spans="1:23" s="9" customFormat="1" ht="12" thickBot="1">
      <c r="A49" s="14">
        <f t="shared" si="2"/>
        <v>40</v>
      </c>
      <c r="B49" s="90" t="str">
        <f>HYPERLINK("#"&amp;ADDRESS(MATCH($W49,'SPEC Details'!$A:$A,0),1,,,"SPEC Details"),$W49)</f>
        <v>N302S</v>
      </c>
      <c r="C49" s="94" t="s">
        <v>306</v>
      </c>
      <c r="D49" s="84" t="s">
        <v>830</v>
      </c>
      <c r="E49" s="85"/>
      <c r="F49" s="86" t="s">
        <v>636</v>
      </c>
      <c r="G49" s="93" t="s">
        <v>1157</v>
      </c>
      <c r="H49" s="84" t="s">
        <v>32</v>
      </c>
      <c r="I49" s="84" t="s">
        <v>120</v>
      </c>
      <c r="J49" s="85"/>
      <c r="K49" s="93"/>
      <c r="L49" s="93"/>
      <c r="M49" s="93"/>
      <c r="N49" s="93"/>
      <c r="O49" s="93"/>
      <c r="P49" s="93" t="s">
        <v>134</v>
      </c>
      <c r="Q49" s="93" t="s">
        <v>134</v>
      </c>
      <c r="R49" s="93"/>
      <c r="S49" s="93"/>
      <c r="T49" s="93"/>
      <c r="U49" s="87">
        <v>870</v>
      </c>
      <c r="V49" s="112" t="s">
        <v>1510</v>
      </c>
      <c r="W49" s="9" t="s">
        <v>843</v>
      </c>
    </row>
    <row r="50" spans="1:23" s="9" customFormat="1">
      <c r="A50" s="14">
        <f t="shared" si="2"/>
        <v>41</v>
      </c>
      <c r="B50" s="90" t="str">
        <f>HYPERLINK("#"&amp;ADDRESS(MATCH($W50,'SPEC Details'!$A:$A,0),1,,,"SPEC Details"),$W50)</f>
        <v>E2000</v>
      </c>
      <c r="C50" s="81" t="s">
        <v>611</v>
      </c>
      <c r="D50" s="46" t="s">
        <v>830</v>
      </c>
      <c r="E50" s="81"/>
      <c r="F50" s="82" t="s">
        <v>636</v>
      </c>
      <c r="G50" s="46" t="s">
        <v>1158</v>
      </c>
      <c r="H50" s="46" t="s">
        <v>32</v>
      </c>
      <c r="I50" s="46" t="s">
        <v>120</v>
      </c>
      <c r="J50" s="115" t="s">
        <v>134</v>
      </c>
      <c r="K50" s="46" t="s">
        <v>134</v>
      </c>
      <c r="L50" s="46"/>
      <c r="M50" s="46"/>
      <c r="N50" s="46"/>
      <c r="O50" s="46"/>
      <c r="P50" s="46"/>
      <c r="Q50" s="46"/>
      <c r="R50" s="46"/>
      <c r="S50" s="46"/>
      <c r="T50" s="46"/>
      <c r="U50" s="83">
        <v>77</v>
      </c>
      <c r="V50" s="112" t="s">
        <v>1510</v>
      </c>
      <c r="W50" s="9" t="s">
        <v>794</v>
      </c>
    </row>
    <row r="51" spans="1:23" s="9" customFormat="1">
      <c r="A51" s="14"/>
      <c r="B51" s="90" t="str">
        <f>HYPERLINK("#"&amp;ADDRESS(MATCH($W51,'SPEC Details'!$A:$A,0),1,,,"SPEC Details"),$W51)</f>
        <v>O9000</v>
      </c>
      <c r="C51" s="81" t="s">
        <v>250</v>
      </c>
      <c r="D51" s="89" t="s">
        <v>830</v>
      </c>
      <c r="E51" s="81"/>
      <c r="F51" s="12" t="s">
        <v>636</v>
      </c>
      <c r="G51" s="46" t="s">
        <v>1159</v>
      </c>
      <c r="H51" s="89" t="s">
        <v>32</v>
      </c>
      <c r="I51" s="89" t="s">
        <v>120</v>
      </c>
      <c r="J51" s="89" t="s">
        <v>134</v>
      </c>
      <c r="K51" s="89" t="s">
        <v>134</v>
      </c>
      <c r="L51" s="46"/>
      <c r="M51" s="46"/>
      <c r="N51" s="46"/>
      <c r="O51" s="46"/>
      <c r="P51" s="46"/>
      <c r="Q51" s="46"/>
      <c r="R51" s="46"/>
      <c r="S51" s="46"/>
      <c r="T51" s="46"/>
      <c r="U51" s="92">
        <v>77</v>
      </c>
      <c r="V51" s="112" t="s">
        <v>1510</v>
      </c>
      <c r="W51" s="9" t="s">
        <v>878</v>
      </c>
    </row>
    <row r="52" spans="1:23" s="9" customFormat="1">
      <c r="A52" s="14">
        <f>ROW(A52)-9</f>
        <v>43</v>
      </c>
      <c r="B52" s="90" t="str">
        <f>HYPERLINK("#"&amp;ADDRESS(MATCH($W52,'SPEC Details'!$A:$A,0),1,,,"SPEC Details"),$W52)</f>
        <v>P3000</v>
      </c>
      <c r="C52" s="81" t="s">
        <v>374</v>
      </c>
      <c r="D52" s="89" t="s">
        <v>830</v>
      </c>
      <c r="E52" s="81"/>
      <c r="F52" s="91" t="s">
        <v>636</v>
      </c>
      <c r="G52" s="115" t="s">
        <v>1086</v>
      </c>
      <c r="H52" s="89" t="s">
        <v>32</v>
      </c>
      <c r="I52" s="89" t="s">
        <v>120</v>
      </c>
      <c r="J52" s="89" t="s">
        <v>134</v>
      </c>
      <c r="K52" s="89" t="s">
        <v>134</v>
      </c>
      <c r="L52" s="115"/>
      <c r="M52" s="115"/>
      <c r="N52" s="115"/>
      <c r="O52" s="115"/>
      <c r="P52" s="115"/>
      <c r="Q52" s="115"/>
      <c r="R52" s="115"/>
      <c r="S52" s="115"/>
      <c r="T52" s="115"/>
      <c r="U52" s="92">
        <v>77</v>
      </c>
      <c r="V52" s="112" t="s">
        <v>1510</v>
      </c>
      <c r="W52" s="9" t="s">
        <v>1086</v>
      </c>
    </row>
    <row r="53" spans="1:23" s="9" customFormat="1" ht="12" thickBot="1">
      <c r="A53" s="14">
        <f>ROW(A53)-9</f>
        <v>44</v>
      </c>
      <c r="B53" s="90" t="str">
        <f>HYPERLINK("#"&amp;ADDRESS(MATCH($W53,'SPEC Details'!$A:$A,0),1,,,"SPEC Details"),$W53)</f>
        <v>BP000</v>
      </c>
      <c r="C53" s="94" t="s">
        <v>1084</v>
      </c>
      <c r="D53" s="93" t="s">
        <v>830</v>
      </c>
      <c r="E53" s="94"/>
      <c r="F53" s="86" t="s">
        <v>636</v>
      </c>
      <c r="G53" s="93" t="s">
        <v>1086</v>
      </c>
      <c r="H53" s="93" t="s">
        <v>32</v>
      </c>
      <c r="I53" s="93" t="s">
        <v>120</v>
      </c>
      <c r="J53" s="93" t="s">
        <v>134</v>
      </c>
      <c r="K53" s="93" t="s">
        <v>134</v>
      </c>
      <c r="L53" s="93"/>
      <c r="M53" s="93"/>
      <c r="N53" s="93"/>
      <c r="O53" s="93"/>
      <c r="P53" s="93"/>
      <c r="Q53" s="93"/>
      <c r="R53" s="93"/>
      <c r="S53" s="93"/>
      <c r="T53" s="93"/>
      <c r="U53" s="87">
        <v>77</v>
      </c>
      <c r="V53" s="10"/>
      <c r="W53" s="9" t="s">
        <v>1085</v>
      </c>
    </row>
    <row r="54" spans="1:23" s="9" customFormat="1" ht="12" thickBot="1">
      <c r="A54" s="14"/>
      <c r="B54" s="90" t="str">
        <f>HYPERLINK("#"&amp;ADDRESS(MATCH($W54,'SPEC Details'!$A:$A,0),1,,,"SPEC Details"),$W54)</f>
        <v>K0000</v>
      </c>
      <c r="C54" s="95" t="s">
        <v>391</v>
      </c>
      <c r="D54" s="93" t="s">
        <v>830</v>
      </c>
      <c r="E54" s="95"/>
      <c r="F54" s="82" t="s">
        <v>636</v>
      </c>
      <c r="G54" s="46" t="s">
        <v>1160</v>
      </c>
      <c r="H54" s="46" t="s">
        <v>32</v>
      </c>
      <c r="I54" s="46" t="s">
        <v>879</v>
      </c>
      <c r="J54" s="115"/>
      <c r="K54" s="46"/>
      <c r="L54" s="46"/>
      <c r="M54" s="46"/>
      <c r="N54" s="46"/>
      <c r="O54" s="46"/>
      <c r="P54" s="46"/>
      <c r="Q54" s="46"/>
      <c r="R54" s="46" t="s">
        <v>134</v>
      </c>
      <c r="S54" s="46" t="s">
        <v>134</v>
      </c>
      <c r="T54" s="46" t="s">
        <v>134</v>
      </c>
      <c r="U54" s="83">
        <v>114</v>
      </c>
      <c r="V54" s="10"/>
      <c r="W54" s="9" t="s">
        <v>857</v>
      </c>
    </row>
    <row r="55" spans="1:23" s="9" customFormat="1">
      <c r="A55" s="14">
        <f>ROW(A55)-9</f>
        <v>46</v>
      </c>
      <c r="B55" s="90" t="str">
        <f>HYPERLINK("#"&amp;ADDRESS(MATCH($W55,'SPEC Details'!$A:$A,0),1,,,"SPEC Details"),$W55)</f>
        <v>K6000</v>
      </c>
      <c r="C55" s="90" t="s">
        <v>383</v>
      </c>
      <c r="D55" s="11" t="s">
        <v>830</v>
      </c>
      <c r="E55" s="13"/>
      <c r="F55" s="12" t="s">
        <v>636</v>
      </c>
      <c r="G55" s="89" t="s">
        <v>1161</v>
      </c>
      <c r="H55" s="11" t="s">
        <v>32</v>
      </c>
      <c r="I55" s="11" t="s">
        <v>879</v>
      </c>
      <c r="J55" s="89"/>
      <c r="K55" s="89"/>
      <c r="L55" s="89"/>
      <c r="M55" s="89"/>
      <c r="N55" s="89"/>
      <c r="O55" s="89"/>
      <c r="P55" s="89"/>
      <c r="Q55" s="89"/>
      <c r="R55" s="89" t="s">
        <v>134</v>
      </c>
      <c r="S55" s="89" t="s">
        <v>134</v>
      </c>
      <c r="T55" s="89" t="s">
        <v>134</v>
      </c>
      <c r="U55" s="36">
        <v>114</v>
      </c>
      <c r="V55" s="10"/>
      <c r="W55" s="9" t="s">
        <v>786</v>
      </c>
    </row>
    <row r="56" spans="1:23" s="9" customFormat="1">
      <c r="A56" s="14">
        <f>ROW(A56)-9</f>
        <v>47</v>
      </c>
      <c r="B56" s="90" t="str">
        <f>HYPERLINK("#"&amp;ADDRESS(MATCH($W56,'SPEC Details'!$A:$A,0),1,,,"SPEC Details"),$W56)</f>
        <v>L6000</v>
      </c>
      <c r="C56" s="90" t="s">
        <v>370</v>
      </c>
      <c r="D56" s="11" t="s">
        <v>830</v>
      </c>
      <c r="E56" s="13"/>
      <c r="F56" s="12" t="s">
        <v>636</v>
      </c>
      <c r="G56" s="89" t="s">
        <v>1162</v>
      </c>
      <c r="H56" s="11" t="s">
        <v>32</v>
      </c>
      <c r="I56" s="11" t="s">
        <v>879</v>
      </c>
      <c r="J56" s="89"/>
      <c r="K56" s="89"/>
      <c r="L56" s="89"/>
      <c r="M56" s="89"/>
      <c r="N56" s="89"/>
      <c r="O56" s="89"/>
      <c r="P56" s="89"/>
      <c r="Q56" s="89"/>
      <c r="R56" s="89" t="s">
        <v>134</v>
      </c>
      <c r="S56" s="89" t="s">
        <v>134</v>
      </c>
      <c r="T56" s="89" t="s">
        <v>134</v>
      </c>
      <c r="U56" s="36">
        <v>114</v>
      </c>
      <c r="V56" s="10"/>
      <c r="W56" s="9" t="s">
        <v>859</v>
      </c>
    </row>
    <row r="57" spans="1:23" s="9" customFormat="1">
      <c r="A57" s="14">
        <f t="shared" ref="A57:A61" si="3">ROW(A57)-9</f>
        <v>48</v>
      </c>
      <c r="B57" s="90" t="str">
        <f>HYPERLINK("#"&amp;ADDRESS(MATCH($W57,'SPEC Details'!$A:$A,0),1,,,"SPEC Details"),$W57)</f>
        <v>Q6000</v>
      </c>
      <c r="C57" s="90" t="s">
        <v>360</v>
      </c>
      <c r="D57" s="11" t="s">
        <v>830</v>
      </c>
      <c r="E57" s="13"/>
      <c r="F57" s="12" t="s">
        <v>636</v>
      </c>
      <c r="G57" s="89" t="s">
        <v>1163</v>
      </c>
      <c r="H57" s="11" t="s">
        <v>32</v>
      </c>
      <c r="I57" s="11" t="s">
        <v>879</v>
      </c>
      <c r="J57" s="89"/>
      <c r="K57" s="89"/>
      <c r="L57" s="89"/>
      <c r="M57" s="89"/>
      <c r="N57" s="89"/>
      <c r="O57" s="89"/>
      <c r="P57" s="89"/>
      <c r="Q57" s="89"/>
      <c r="R57" s="89" t="s">
        <v>134</v>
      </c>
      <c r="S57" s="89" t="s">
        <v>134</v>
      </c>
      <c r="T57" s="89" t="s">
        <v>134</v>
      </c>
      <c r="U57" s="36">
        <v>114</v>
      </c>
      <c r="V57" s="10"/>
      <c r="W57" s="9" t="s">
        <v>855</v>
      </c>
    </row>
    <row r="58" spans="1:23" s="9" customFormat="1">
      <c r="A58" s="14">
        <f t="shared" si="3"/>
        <v>49</v>
      </c>
      <c r="B58" s="90" t="str">
        <f>HYPERLINK("#"&amp;ADDRESS(MATCH($W58,'SPEC Details'!$A:$A,0),1,,,"SPEC Details"),$W58)</f>
        <v>CE000</v>
      </c>
      <c r="C58" s="90" t="s">
        <v>1112</v>
      </c>
      <c r="D58" s="89" t="s">
        <v>830</v>
      </c>
      <c r="E58" s="90"/>
      <c r="F58" s="91" t="s">
        <v>636</v>
      </c>
      <c r="G58" s="89" t="s">
        <v>1113</v>
      </c>
      <c r="H58" s="89" t="s">
        <v>32</v>
      </c>
      <c r="I58" s="89" t="s">
        <v>879</v>
      </c>
      <c r="J58" s="89"/>
      <c r="K58" s="89"/>
      <c r="L58" s="89"/>
      <c r="M58" s="89"/>
      <c r="N58" s="89"/>
      <c r="O58" s="89"/>
      <c r="P58" s="89"/>
      <c r="Q58" s="89"/>
      <c r="R58" s="89" t="s">
        <v>134</v>
      </c>
      <c r="S58" s="89" t="s">
        <v>134</v>
      </c>
      <c r="T58" s="89" t="s">
        <v>134</v>
      </c>
      <c r="U58" s="92">
        <v>70</v>
      </c>
      <c r="V58" s="10"/>
      <c r="W58" s="9" t="s">
        <v>1114</v>
      </c>
    </row>
    <row r="59" spans="1:23" s="9" customFormat="1">
      <c r="A59" s="14">
        <f>ROW(A59)-9</f>
        <v>50</v>
      </c>
      <c r="B59" s="90" t="str">
        <f>HYPERLINK("#"&amp;ADDRESS(MATCH($W59,'SPEC Details'!$A:$A,0),1,,,"SPEC Details"),$W59)</f>
        <v>A0013</v>
      </c>
      <c r="C59" s="90" t="s">
        <v>1195</v>
      </c>
      <c r="D59" s="89" t="s">
        <v>830</v>
      </c>
      <c r="E59" s="90"/>
      <c r="F59" s="91" t="s">
        <v>627</v>
      </c>
      <c r="G59" s="89" t="s">
        <v>876</v>
      </c>
      <c r="H59" s="89" t="s">
        <v>28</v>
      </c>
      <c r="I59" s="89" t="s">
        <v>784</v>
      </c>
      <c r="J59" s="89"/>
      <c r="K59" s="89"/>
      <c r="L59" s="89"/>
      <c r="M59" s="89"/>
      <c r="N59" s="89" t="s">
        <v>134</v>
      </c>
      <c r="O59" s="89" t="s">
        <v>134</v>
      </c>
      <c r="P59" s="89"/>
      <c r="Q59" s="89"/>
      <c r="R59" s="89"/>
      <c r="S59" s="89"/>
      <c r="T59" s="89"/>
      <c r="U59" s="92">
        <v>900</v>
      </c>
      <c r="V59" s="112"/>
      <c r="W59" s="9" t="s">
        <v>876</v>
      </c>
    </row>
    <row r="60" spans="1:23" s="9" customFormat="1">
      <c r="A60" s="14">
        <f t="shared" si="3"/>
        <v>51</v>
      </c>
      <c r="B60" s="90" t="str">
        <f>HYPERLINK("#"&amp;ADDRESS(MATCH($W60,'SPEC Details'!$A:$A,0),1,,,"SPEC Details"),$W60)</f>
        <v>A2013</v>
      </c>
      <c r="C60" s="81" t="s">
        <v>602</v>
      </c>
      <c r="D60" s="46" t="s">
        <v>830</v>
      </c>
      <c r="E60" s="81"/>
      <c r="F60" s="82" t="s">
        <v>636</v>
      </c>
      <c r="G60" s="46" t="s">
        <v>851</v>
      </c>
      <c r="H60" s="46" t="s">
        <v>32</v>
      </c>
      <c r="I60" s="46" t="s">
        <v>784</v>
      </c>
      <c r="J60" s="115"/>
      <c r="K60" s="46"/>
      <c r="L60" s="46"/>
      <c r="M60" s="46"/>
      <c r="N60" s="46" t="s">
        <v>134</v>
      </c>
      <c r="O60" s="46" t="s">
        <v>134</v>
      </c>
      <c r="P60" s="46"/>
      <c r="Q60" s="46"/>
      <c r="R60" s="46"/>
      <c r="S60" s="46"/>
      <c r="T60" s="46"/>
      <c r="U60" s="83">
        <v>200</v>
      </c>
      <c r="V60" s="112"/>
      <c r="W60" s="9" t="s">
        <v>851</v>
      </c>
    </row>
    <row r="61" spans="1:23" s="9" customFormat="1">
      <c r="A61" s="14">
        <f t="shared" si="3"/>
        <v>52</v>
      </c>
      <c r="B61" s="90" t="str">
        <f>HYPERLINK("#"&amp;ADDRESS(MATCH($W61,'SPEC Details'!$A:$A,0),1,,,"SPEC Details"),$W61)</f>
        <v>A3013</v>
      </c>
      <c r="C61" s="90" t="s">
        <v>521</v>
      </c>
      <c r="D61" s="11" t="s">
        <v>830</v>
      </c>
      <c r="E61" s="13"/>
      <c r="F61" s="12" t="s">
        <v>636</v>
      </c>
      <c r="G61" s="89" t="s">
        <v>846</v>
      </c>
      <c r="H61" s="11" t="s">
        <v>32</v>
      </c>
      <c r="I61" s="11" t="s">
        <v>784</v>
      </c>
      <c r="J61" s="89"/>
      <c r="K61" s="89"/>
      <c r="L61" s="89"/>
      <c r="M61" s="89"/>
      <c r="N61" s="89" t="s">
        <v>134</v>
      </c>
      <c r="O61" s="89" t="s">
        <v>134</v>
      </c>
      <c r="P61" s="89"/>
      <c r="Q61" s="89"/>
      <c r="R61" s="89"/>
      <c r="S61" s="89"/>
      <c r="T61" s="89"/>
      <c r="U61" s="36">
        <v>250</v>
      </c>
      <c r="V61" s="10"/>
      <c r="W61" s="9" t="s">
        <v>846</v>
      </c>
    </row>
    <row r="62" spans="1:23" s="9" customFormat="1">
      <c r="A62" s="14">
        <f t="shared" ref="A62:A66" si="4">ROW(A62)-9</f>
        <v>53</v>
      </c>
      <c r="B62" s="90" t="str">
        <f>HYPERLINK("#"&amp;ADDRESS(MATCH($W62,'SPEC Details'!$A:$A,0),1,,,"SPEC Details"),$W62)</f>
        <v>A6013</v>
      </c>
      <c r="C62" s="90" t="s">
        <v>557</v>
      </c>
      <c r="D62" s="11" t="s">
        <v>830</v>
      </c>
      <c r="E62" s="13"/>
      <c r="F62" s="12" t="s">
        <v>636</v>
      </c>
      <c r="G62" s="89" t="s">
        <v>838</v>
      </c>
      <c r="H62" s="11" t="s">
        <v>32</v>
      </c>
      <c r="I62" s="11" t="s">
        <v>784</v>
      </c>
      <c r="J62" s="89"/>
      <c r="K62" s="89"/>
      <c r="L62" s="89"/>
      <c r="M62" s="89"/>
      <c r="N62" s="89" t="s">
        <v>134</v>
      </c>
      <c r="O62" s="89" t="s">
        <v>134</v>
      </c>
      <c r="P62" s="89"/>
      <c r="Q62" s="89"/>
      <c r="R62" s="89"/>
      <c r="S62" s="89"/>
      <c r="T62" s="89"/>
      <c r="U62" s="36">
        <v>40</v>
      </c>
      <c r="V62" s="10"/>
      <c r="W62" s="9" t="s">
        <v>838</v>
      </c>
    </row>
    <row r="63" spans="1:23" s="9" customFormat="1">
      <c r="A63" s="14">
        <f t="shared" si="4"/>
        <v>54</v>
      </c>
      <c r="B63" s="90" t="str">
        <f>HYPERLINK("#"&amp;ADDRESS(MATCH($W63,'SPEC Details'!$A:$A,0),1,,,"SPEC Details"),$W63)</f>
        <v>A7013</v>
      </c>
      <c r="C63" s="90" t="s">
        <v>734</v>
      </c>
      <c r="D63" s="11" t="s">
        <v>830</v>
      </c>
      <c r="E63" s="13"/>
      <c r="F63" s="12" t="s">
        <v>636</v>
      </c>
      <c r="G63" s="89" t="s">
        <v>844</v>
      </c>
      <c r="H63" s="11" t="s">
        <v>32</v>
      </c>
      <c r="I63" s="11" t="s">
        <v>784</v>
      </c>
      <c r="J63" s="89"/>
      <c r="K63" s="89"/>
      <c r="L63" s="89"/>
      <c r="M63" s="89"/>
      <c r="N63" s="89" t="s">
        <v>134</v>
      </c>
      <c r="O63" s="89" t="s">
        <v>134</v>
      </c>
      <c r="P63" s="89"/>
      <c r="Q63" s="89"/>
      <c r="R63" s="89"/>
      <c r="S63" s="89"/>
      <c r="T63" s="89"/>
      <c r="U63" s="36">
        <v>30</v>
      </c>
      <c r="V63" s="10"/>
      <c r="W63" s="9" t="s">
        <v>844</v>
      </c>
    </row>
    <row r="64" spans="1:23" s="9" customFormat="1">
      <c r="A64" s="14">
        <f t="shared" si="4"/>
        <v>55</v>
      </c>
      <c r="B64" s="90" t="str">
        <f>HYPERLINK("#"&amp;ADDRESS(MATCH($W64,'SPEC Details'!$A:$A,0),1,,,"SPEC Details"),$W64)</f>
        <v>E9013</v>
      </c>
      <c r="C64" s="90" t="s">
        <v>1082</v>
      </c>
      <c r="D64" s="11" t="s">
        <v>830</v>
      </c>
      <c r="E64" s="13"/>
      <c r="F64" s="12" t="s">
        <v>627</v>
      </c>
      <c r="G64" s="89" t="s">
        <v>877</v>
      </c>
      <c r="H64" s="11" t="s">
        <v>28</v>
      </c>
      <c r="I64" s="11" t="s">
        <v>784</v>
      </c>
      <c r="J64" s="89"/>
      <c r="K64" s="89"/>
      <c r="L64" s="89"/>
      <c r="M64" s="89"/>
      <c r="N64" s="89" t="s">
        <v>134</v>
      </c>
      <c r="O64" s="89" t="s">
        <v>134</v>
      </c>
      <c r="P64" s="89"/>
      <c r="Q64" s="89"/>
      <c r="R64" s="89"/>
      <c r="S64" s="89"/>
      <c r="T64" s="89"/>
      <c r="U64" s="36">
        <v>1366</v>
      </c>
      <c r="V64" s="10"/>
      <c r="W64" s="9" t="s">
        <v>1092</v>
      </c>
    </row>
    <row r="65" spans="1:23" s="9" customFormat="1">
      <c r="A65" s="14">
        <f t="shared" si="4"/>
        <v>56</v>
      </c>
      <c r="B65" s="90" t="str">
        <f>HYPERLINK("#"&amp;ADDRESS(MATCH($W65,'SPEC Details'!$A:$A,0),1,,,"SPEC Details"),$W65)</f>
        <v>F0013</v>
      </c>
      <c r="C65" s="90" t="s">
        <v>1094</v>
      </c>
      <c r="D65" s="11" t="s">
        <v>830</v>
      </c>
      <c r="E65" s="13"/>
      <c r="F65" s="12" t="s">
        <v>636</v>
      </c>
      <c r="G65" s="89" t="s">
        <v>800</v>
      </c>
      <c r="H65" s="11" t="s">
        <v>32</v>
      </c>
      <c r="I65" s="11" t="s">
        <v>784</v>
      </c>
      <c r="J65" s="89"/>
      <c r="K65" s="89"/>
      <c r="L65" s="89"/>
      <c r="M65" s="89"/>
      <c r="N65" s="89" t="s">
        <v>134</v>
      </c>
      <c r="O65" s="89" t="s">
        <v>134</v>
      </c>
      <c r="P65" s="89"/>
      <c r="Q65" s="89"/>
      <c r="R65" s="89"/>
      <c r="S65" s="89"/>
      <c r="T65" s="89"/>
      <c r="U65" s="36">
        <v>1366</v>
      </c>
      <c r="V65" s="10"/>
      <c r="W65" s="9" t="s">
        <v>1093</v>
      </c>
    </row>
    <row r="66" spans="1:23" s="9" customFormat="1" ht="12" thickBot="1">
      <c r="A66" s="14">
        <f t="shared" si="4"/>
        <v>57</v>
      </c>
      <c r="B66" s="90" t="str">
        <f>HYPERLINK("#"&amp;ADDRESS(MATCH($W66,'SPEC Details'!$A:$A,0),1,,,"SPEC Details"),$W66)</f>
        <v>G5013</v>
      </c>
      <c r="C66" s="94" t="s">
        <v>1100</v>
      </c>
      <c r="D66" s="84" t="s">
        <v>830</v>
      </c>
      <c r="E66" s="85"/>
      <c r="F66" s="86" t="s">
        <v>627</v>
      </c>
      <c r="G66" s="93" t="s">
        <v>852</v>
      </c>
      <c r="H66" s="84" t="s">
        <v>28</v>
      </c>
      <c r="I66" s="84" t="s">
        <v>784</v>
      </c>
      <c r="J66" s="93"/>
      <c r="K66" s="93"/>
      <c r="L66" s="93"/>
      <c r="M66" s="93"/>
      <c r="N66" s="93" t="s">
        <v>134</v>
      </c>
      <c r="O66" s="93" t="s">
        <v>134</v>
      </c>
      <c r="P66" s="93"/>
      <c r="Q66" s="93"/>
      <c r="R66" s="93"/>
      <c r="S66" s="93"/>
      <c r="T66" s="93"/>
      <c r="U66" s="87">
        <v>100</v>
      </c>
      <c r="V66" s="10"/>
      <c r="W66" s="9" t="s">
        <v>852</v>
      </c>
    </row>
    <row r="67" spans="1:23" s="9" customFormat="1">
      <c r="A67" s="14">
        <f>ROW(A67)-9</f>
        <v>58</v>
      </c>
      <c r="B67" s="90" t="str">
        <f>HYPERLINK("#"&amp;ADDRESS(MATCH($W67,'SPEC Details'!$A:$A,0),1,,,"SPEC Details"),$W67)</f>
        <v>J5077_01</v>
      </c>
      <c r="C67" s="90" t="s">
        <v>955</v>
      </c>
      <c r="D67" s="11" t="s">
        <v>830</v>
      </c>
      <c r="E67" s="13" t="s">
        <v>956</v>
      </c>
      <c r="F67" s="12" t="s">
        <v>636</v>
      </c>
      <c r="G67" s="89" t="s">
        <v>818</v>
      </c>
      <c r="H67" s="11" t="s">
        <v>32</v>
      </c>
      <c r="I67" s="11" t="s">
        <v>879</v>
      </c>
      <c r="J67" s="89"/>
      <c r="K67" s="89"/>
      <c r="L67" s="89"/>
      <c r="M67" s="89"/>
      <c r="N67" s="89"/>
      <c r="O67" s="89"/>
      <c r="P67" s="89"/>
      <c r="Q67" s="89"/>
      <c r="R67" s="89" t="s">
        <v>134</v>
      </c>
      <c r="S67" s="89" t="s">
        <v>134</v>
      </c>
      <c r="T67" s="89"/>
      <c r="U67" s="36">
        <v>500</v>
      </c>
      <c r="V67" s="112" t="s">
        <v>1510</v>
      </c>
      <c r="W67" s="9" t="s">
        <v>620</v>
      </c>
    </row>
    <row r="68" spans="1:23" s="9" customFormat="1">
      <c r="A68" s="14"/>
      <c r="B68" s="90" t="str">
        <f>HYPERLINK("#"&amp;ADDRESS(MATCH($W68,'SPEC Details'!$A:$A,0),1,,,"SPEC Details"),$W68)</f>
        <v>J6077</v>
      </c>
      <c r="C68" s="90" t="s">
        <v>900</v>
      </c>
      <c r="D68" s="11" t="s">
        <v>830</v>
      </c>
      <c r="E68" s="13"/>
      <c r="F68" s="12" t="s">
        <v>636</v>
      </c>
      <c r="G68" s="89" t="s">
        <v>798</v>
      </c>
      <c r="H68" s="11" t="s">
        <v>32</v>
      </c>
      <c r="I68" s="11" t="s">
        <v>879</v>
      </c>
      <c r="J68" s="89"/>
      <c r="K68" s="89"/>
      <c r="L68" s="89"/>
      <c r="M68" s="89"/>
      <c r="N68" s="89"/>
      <c r="O68" s="89"/>
      <c r="P68" s="89"/>
      <c r="Q68" s="89"/>
      <c r="R68" s="89" t="s">
        <v>134</v>
      </c>
      <c r="S68" s="89" t="s">
        <v>134</v>
      </c>
      <c r="T68" s="89"/>
      <c r="U68" s="36">
        <v>110</v>
      </c>
      <c r="V68" s="112" t="s">
        <v>1510</v>
      </c>
      <c r="W68" s="9" t="s">
        <v>798</v>
      </c>
    </row>
    <row r="69" spans="1:23" s="9" customFormat="1">
      <c r="A69" s="14">
        <f>ROW(A69)-9</f>
        <v>60</v>
      </c>
      <c r="B69" s="90" t="str">
        <f>HYPERLINK("#"&amp;ADDRESS(MATCH($W69,'SPEC Details'!$A:$A,0),1,,,"SPEC Details"),$W69)</f>
        <v>L9077</v>
      </c>
      <c r="C69" s="81" t="s">
        <v>785</v>
      </c>
      <c r="D69" s="46" t="s">
        <v>830</v>
      </c>
      <c r="E69" s="81"/>
      <c r="F69" s="82" t="s">
        <v>636</v>
      </c>
      <c r="G69" s="46" t="s">
        <v>871</v>
      </c>
      <c r="H69" s="46" t="s">
        <v>32</v>
      </c>
      <c r="I69" s="46" t="s">
        <v>879</v>
      </c>
      <c r="J69" s="115" t="s">
        <v>134</v>
      </c>
      <c r="K69" s="46"/>
      <c r="L69" s="46"/>
      <c r="M69" s="46"/>
      <c r="N69" s="46"/>
      <c r="O69" s="46"/>
      <c r="P69" s="46"/>
      <c r="Q69" s="46"/>
      <c r="R69" s="46" t="s">
        <v>134</v>
      </c>
      <c r="S69" s="46" t="s">
        <v>134</v>
      </c>
      <c r="T69" s="46"/>
      <c r="U69" s="83">
        <v>150</v>
      </c>
      <c r="V69" s="112" t="s">
        <v>1510</v>
      </c>
      <c r="W69" s="9" t="s">
        <v>871</v>
      </c>
    </row>
    <row r="70" spans="1:23" s="9" customFormat="1">
      <c r="A70" s="14"/>
      <c r="B70" s="90" t="str">
        <f>HYPERLINK("#"&amp;ADDRESS(MATCH($W70,'SPEC Details'!$A:$A,0),1,,,"SPEC Details"),$W70)</f>
        <v>C1077</v>
      </c>
      <c r="C70" s="90" t="s">
        <v>887</v>
      </c>
      <c r="D70" s="11" t="s">
        <v>830</v>
      </c>
      <c r="E70" s="13"/>
      <c r="F70" s="12" t="s">
        <v>636</v>
      </c>
      <c r="G70" s="89" t="s">
        <v>780</v>
      </c>
      <c r="H70" s="11" t="s">
        <v>28</v>
      </c>
      <c r="I70" s="11" t="s">
        <v>879</v>
      </c>
      <c r="J70" s="89"/>
      <c r="K70" s="89"/>
      <c r="L70" s="89"/>
      <c r="M70" s="89"/>
      <c r="N70" s="89"/>
      <c r="O70" s="89"/>
      <c r="P70" s="89"/>
      <c r="Q70" s="89"/>
      <c r="R70" s="89" t="s">
        <v>134</v>
      </c>
      <c r="S70" s="89" t="s">
        <v>134</v>
      </c>
      <c r="T70" s="89"/>
      <c r="U70" s="36">
        <v>140</v>
      </c>
      <c r="V70" s="112" t="s">
        <v>1510</v>
      </c>
      <c r="W70" s="9" t="s">
        <v>780</v>
      </c>
    </row>
    <row r="71" spans="1:23" s="9" customFormat="1">
      <c r="A71" s="14"/>
      <c r="B71" s="90" t="str">
        <f>HYPERLINK("#"&amp;ADDRESS(MATCH($W71,'SPEC Details'!$A:$A,0),1,,,"SPEC Details"),$W71)</f>
        <v>J7077</v>
      </c>
      <c r="C71" s="90" t="s">
        <v>270</v>
      </c>
      <c r="D71" s="11" t="s">
        <v>830</v>
      </c>
      <c r="E71" s="13"/>
      <c r="F71" s="12" t="s">
        <v>636</v>
      </c>
      <c r="G71" s="89" t="s">
        <v>849</v>
      </c>
      <c r="H71" s="11" t="s">
        <v>32</v>
      </c>
      <c r="I71" s="11" t="s">
        <v>879</v>
      </c>
      <c r="J71" s="89"/>
      <c r="K71" s="89"/>
      <c r="L71" s="89"/>
      <c r="M71" s="89"/>
      <c r="N71" s="89"/>
      <c r="O71" s="89"/>
      <c r="P71" s="89"/>
      <c r="Q71" s="89"/>
      <c r="R71" s="89" t="s">
        <v>134</v>
      </c>
      <c r="S71" s="89" t="s">
        <v>134</v>
      </c>
      <c r="T71" s="89"/>
      <c r="U71" s="36">
        <v>110</v>
      </c>
      <c r="V71" s="112" t="s">
        <v>1510</v>
      </c>
      <c r="W71" s="9" t="s">
        <v>849</v>
      </c>
    </row>
    <row r="72" spans="1:23" s="9" customFormat="1">
      <c r="A72" s="14"/>
      <c r="B72" s="90" t="str">
        <f>HYPERLINK("#"&amp;ADDRESS(MATCH($W72,'SPEC Details'!$A:$A,0),1,,,"SPEC Details"),$W72)</f>
        <v>J8077_NH0</v>
      </c>
      <c r="C72" s="90" t="s">
        <v>456</v>
      </c>
      <c r="D72" s="89" t="s">
        <v>830</v>
      </c>
      <c r="E72" s="90" t="s">
        <v>724</v>
      </c>
      <c r="F72" s="12" t="s">
        <v>636</v>
      </c>
      <c r="G72" s="89" t="s">
        <v>789</v>
      </c>
      <c r="H72" s="89" t="s">
        <v>32</v>
      </c>
      <c r="I72" s="89" t="s">
        <v>879</v>
      </c>
      <c r="J72" s="89"/>
      <c r="K72" s="89"/>
      <c r="L72" s="89"/>
      <c r="M72" s="89"/>
      <c r="N72" s="89"/>
      <c r="O72" s="89"/>
      <c r="P72" s="89"/>
      <c r="Q72" s="89"/>
      <c r="R72" s="89" t="s">
        <v>134</v>
      </c>
      <c r="S72" s="89" t="s">
        <v>134</v>
      </c>
      <c r="T72" s="89"/>
      <c r="U72" s="92">
        <v>380</v>
      </c>
      <c r="V72" s="112" t="s">
        <v>1510</v>
      </c>
      <c r="W72" s="9" t="s">
        <v>628</v>
      </c>
    </row>
    <row r="73" spans="1:23" s="9" customFormat="1">
      <c r="A73" s="14"/>
      <c r="B73" s="90" t="str">
        <f>HYPERLINK("#"&amp;ADDRESS(MATCH($W73,'SPEC Details'!$A:$A,0),1,,,"SPEC Details"),$W73)</f>
        <v>J8077_SI0</v>
      </c>
      <c r="C73" s="90" t="s">
        <v>336</v>
      </c>
      <c r="D73" s="11" t="s">
        <v>830</v>
      </c>
      <c r="E73" s="13" t="s">
        <v>726</v>
      </c>
      <c r="F73" s="12" t="s">
        <v>636</v>
      </c>
      <c r="G73" s="89" t="s">
        <v>789</v>
      </c>
      <c r="H73" s="11" t="s">
        <v>32</v>
      </c>
      <c r="I73" s="11" t="s">
        <v>879</v>
      </c>
      <c r="J73" s="89"/>
      <c r="K73" s="89"/>
      <c r="L73" s="89"/>
      <c r="M73" s="89"/>
      <c r="N73" s="89"/>
      <c r="O73" s="89"/>
      <c r="P73" s="89"/>
      <c r="Q73" s="89"/>
      <c r="R73" s="89" t="s">
        <v>134</v>
      </c>
      <c r="S73" s="89" t="s">
        <v>134</v>
      </c>
      <c r="T73" s="89"/>
      <c r="U73" s="36">
        <v>380</v>
      </c>
      <c r="V73" s="112" t="s">
        <v>1510</v>
      </c>
      <c r="W73" s="9" t="s">
        <v>617</v>
      </c>
    </row>
    <row r="74" spans="1:23" s="9" customFormat="1">
      <c r="A74" s="14"/>
      <c r="B74" s="90" t="str">
        <f>HYPERLINK("#"&amp;ADDRESS(MATCH($W74,'SPEC Details'!$A:$A,0),1,,,"SPEC Details"),$W74)</f>
        <v>J8077_HO0</v>
      </c>
      <c r="C74" s="90" t="s">
        <v>699</v>
      </c>
      <c r="D74" s="89" t="s">
        <v>830</v>
      </c>
      <c r="E74" s="90" t="s">
        <v>604</v>
      </c>
      <c r="F74" s="12" t="s">
        <v>636</v>
      </c>
      <c r="G74" s="89" t="s">
        <v>789</v>
      </c>
      <c r="H74" s="89" t="s">
        <v>32</v>
      </c>
      <c r="I74" s="89" t="s">
        <v>879</v>
      </c>
      <c r="J74" s="89"/>
      <c r="K74" s="89"/>
      <c r="L74" s="89"/>
      <c r="M74" s="89"/>
      <c r="N74" s="89"/>
      <c r="O74" s="89"/>
      <c r="P74" s="89"/>
      <c r="Q74" s="89"/>
      <c r="R74" s="89" t="s">
        <v>134</v>
      </c>
      <c r="S74" s="89" t="s">
        <v>134</v>
      </c>
      <c r="T74" s="89"/>
      <c r="U74" s="92">
        <v>380</v>
      </c>
      <c r="V74" s="112" t="s">
        <v>1510</v>
      </c>
      <c r="W74" s="9" t="s">
        <v>606</v>
      </c>
    </row>
    <row r="75" spans="1:23" s="9" customFormat="1">
      <c r="A75" s="14"/>
      <c r="B75" s="90" t="str">
        <f>HYPERLINK("#"&amp;ADDRESS(MATCH($W75,'SPEC Details'!$A:$A,0),1,,,"SPEC Details"),$W75)</f>
        <v>J8077_DT0</v>
      </c>
      <c r="C75" s="90" t="s">
        <v>1019</v>
      </c>
      <c r="D75" s="89" t="s">
        <v>830</v>
      </c>
      <c r="E75" s="90" t="s">
        <v>1020</v>
      </c>
      <c r="F75" s="91" t="s">
        <v>636</v>
      </c>
      <c r="G75" s="89" t="s">
        <v>789</v>
      </c>
      <c r="H75" s="89" t="s">
        <v>32</v>
      </c>
      <c r="I75" s="89" t="s">
        <v>879</v>
      </c>
      <c r="J75" s="89"/>
      <c r="K75" s="89"/>
      <c r="L75" s="89"/>
      <c r="M75" s="89"/>
      <c r="N75" s="89"/>
      <c r="O75" s="89"/>
      <c r="P75" s="89"/>
      <c r="Q75" s="89"/>
      <c r="R75" s="89" t="s">
        <v>134</v>
      </c>
      <c r="S75" s="89" t="s">
        <v>134</v>
      </c>
      <c r="T75" s="89"/>
      <c r="U75" s="92">
        <v>380</v>
      </c>
      <c r="V75" s="112" t="s">
        <v>1510</v>
      </c>
      <c r="W75" s="9" t="s">
        <v>1000</v>
      </c>
    </row>
    <row r="76" spans="1:23" s="9" customFormat="1">
      <c r="A76" s="14"/>
      <c r="B76" s="90" t="str">
        <f>HYPERLINK("#"&amp;ADDRESS(MATCH($W76,'SPEC Details'!$A:$A,0),1,,,"SPEC Details"),$W76)</f>
        <v>J8077_CH0</v>
      </c>
      <c r="C76" s="90" t="s">
        <v>1021</v>
      </c>
      <c r="D76" s="89" t="s">
        <v>830</v>
      </c>
      <c r="E76" s="90" t="s">
        <v>1022</v>
      </c>
      <c r="F76" s="91" t="s">
        <v>636</v>
      </c>
      <c r="G76" s="89" t="s">
        <v>789</v>
      </c>
      <c r="H76" s="89" t="s">
        <v>32</v>
      </c>
      <c r="I76" s="89" t="s">
        <v>879</v>
      </c>
      <c r="J76" s="89"/>
      <c r="K76" s="89"/>
      <c r="L76" s="89"/>
      <c r="M76" s="89"/>
      <c r="N76" s="89"/>
      <c r="O76" s="89"/>
      <c r="P76" s="89"/>
      <c r="Q76" s="89"/>
      <c r="R76" s="89" t="s">
        <v>134</v>
      </c>
      <c r="S76" s="89" t="s">
        <v>134</v>
      </c>
      <c r="T76" s="89"/>
      <c r="U76" s="92">
        <v>380</v>
      </c>
      <c r="V76" s="112" t="s">
        <v>1510</v>
      </c>
      <c r="W76" s="9" t="s">
        <v>1001</v>
      </c>
    </row>
    <row r="77" spans="1:23" s="9" customFormat="1">
      <c r="A77" s="14"/>
      <c r="B77" s="90" t="str">
        <f>HYPERLINK("#"&amp;ADDRESS(MATCH($W77,'SPEC Details'!$A:$A,0),1,,,"SPEC Details"),$W77)</f>
        <v>J8077_BG0</v>
      </c>
      <c r="C77" s="90" t="s">
        <v>1023</v>
      </c>
      <c r="D77" s="89" t="s">
        <v>830</v>
      </c>
      <c r="E77" s="90" t="s">
        <v>1016</v>
      </c>
      <c r="F77" s="91" t="s">
        <v>636</v>
      </c>
      <c r="G77" s="89" t="s">
        <v>789</v>
      </c>
      <c r="H77" s="89" t="s">
        <v>32</v>
      </c>
      <c r="I77" s="89" t="s">
        <v>879</v>
      </c>
      <c r="J77" s="89"/>
      <c r="K77" s="89"/>
      <c r="L77" s="89"/>
      <c r="M77" s="89"/>
      <c r="N77" s="89"/>
      <c r="O77" s="89"/>
      <c r="P77" s="89"/>
      <c r="Q77" s="89"/>
      <c r="R77" s="89" t="s">
        <v>134</v>
      </c>
      <c r="S77" s="89" t="s">
        <v>134</v>
      </c>
      <c r="T77" s="89"/>
      <c r="U77" s="92">
        <v>380</v>
      </c>
      <c r="V77" s="112" t="s">
        <v>1510</v>
      </c>
      <c r="W77" s="9" t="s">
        <v>1002</v>
      </c>
    </row>
    <row r="78" spans="1:23" s="9" customFormat="1">
      <c r="A78" s="14"/>
      <c r="B78" s="90" t="str">
        <f>HYPERLINK("#"&amp;ADDRESS(MATCH($W78,'SPEC Details'!$A:$A,0),1,,,"SPEC Details"),$W78)</f>
        <v>J8077_ED0</v>
      </c>
      <c r="C78" s="90" t="s">
        <v>1024</v>
      </c>
      <c r="D78" s="89" t="s">
        <v>830</v>
      </c>
      <c r="E78" s="90" t="s">
        <v>1017</v>
      </c>
      <c r="F78" s="91" t="s">
        <v>636</v>
      </c>
      <c r="G78" s="89" t="s">
        <v>789</v>
      </c>
      <c r="H78" s="89" t="s">
        <v>32</v>
      </c>
      <c r="I78" s="89" t="s">
        <v>879</v>
      </c>
      <c r="J78" s="89"/>
      <c r="K78" s="89"/>
      <c r="L78" s="89"/>
      <c r="M78" s="89"/>
      <c r="N78" s="89"/>
      <c r="O78" s="89"/>
      <c r="P78" s="89"/>
      <c r="Q78" s="89"/>
      <c r="R78" s="89" t="s">
        <v>134</v>
      </c>
      <c r="S78" s="89" t="s">
        <v>134</v>
      </c>
      <c r="T78" s="89"/>
      <c r="U78" s="92">
        <v>380</v>
      </c>
      <c r="V78" s="112" t="s">
        <v>1510</v>
      </c>
      <c r="W78" s="9" t="s">
        <v>1003</v>
      </c>
    </row>
    <row r="79" spans="1:23" s="9" customFormat="1" ht="33.75">
      <c r="A79" s="14"/>
      <c r="B79" s="90" t="str">
        <f>HYPERLINK("#"&amp;ADDRESS(MATCH($W79,'SPEC Details'!$A:$A,0),1,,,"SPEC Details"),$W79)</f>
        <v>H8000_D</v>
      </c>
      <c r="C79" s="90" t="s">
        <v>978</v>
      </c>
      <c r="D79" s="89" t="s">
        <v>830</v>
      </c>
      <c r="E79" s="90" t="s">
        <v>4</v>
      </c>
      <c r="F79" s="91" t="s">
        <v>375</v>
      </c>
      <c r="G79" s="89" t="s">
        <v>1124</v>
      </c>
      <c r="H79" s="89" t="s">
        <v>32</v>
      </c>
      <c r="I79" s="89" t="s">
        <v>952</v>
      </c>
      <c r="J79" s="90"/>
      <c r="K79" s="89"/>
      <c r="L79" s="89" t="s">
        <v>134</v>
      </c>
      <c r="M79" s="89" t="s">
        <v>134</v>
      </c>
      <c r="N79" s="89"/>
      <c r="O79" s="89"/>
      <c r="P79" s="89"/>
      <c r="Q79" s="89"/>
      <c r="R79" s="89"/>
      <c r="S79" s="89"/>
      <c r="T79" s="89"/>
      <c r="U79" s="92">
        <v>101</v>
      </c>
      <c r="V79" s="112" t="s">
        <v>1510</v>
      </c>
      <c r="W79" s="9" t="s">
        <v>797</v>
      </c>
    </row>
    <row r="80" spans="1:23" s="9" customFormat="1" ht="33.75">
      <c r="A80" s="14"/>
      <c r="B80" s="90" t="str">
        <f>HYPERLINK("#"&amp;ADDRESS(MATCH($W80,'SPEC Details'!$A:$A,0),1,,,"SPEC Details"),$W80)</f>
        <v>H8000_L</v>
      </c>
      <c r="C80" s="90" t="s">
        <v>248</v>
      </c>
      <c r="D80" s="89" t="s">
        <v>830</v>
      </c>
      <c r="E80" s="90" t="s">
        <v>3</v>
      </c>
      <c r="F80" s="91" t="s">
        <v>636</v>
      </c>
      <c r="G80" s="89" t="s">
        <v>1123</v>
      </c>
      <c r="H80" s="89" t="s">
        <v>32</v>
      </c>
      <c r="I80" s="89" t="s">
        <v>952</v>
      </c>
      <c r="J80" s="90"/>
      <c r="K80" s="89"/>
      <c r="L80" s="89" t="s">
        <v>134</v>
      </c>
      <c r="M80" s="89" t="s">
        <v>134</v>
      </c>
      <c r="N80" s="89"/>
      <c r="O80" s="89"/>
      <c r="P80" s="89"/>
      <c r="Q80" s="89"/>
      <c r="R80" s="89"/>
      <c r="S80" s="89"/>
      <c r="T80" s="89"/>
      <c r="U80" s="92">
        <v>101</v>
      </c>
      <c r="V80" s="112" t="s">
        <v>1510</v>
      </c>
      <c r="W80" s="9" t="s">
        <v>872</v>
      </c>
    </row>
    <row r="81" spans="1:32" s="9" customFormat="1" ht="33.75">
      <c r="A81" s="14"/>
      <c r="B81" s="257" t="str">
        <f>HYPERLINK("#"&amp;ADDRESS(MATCH($W81,'SPEC Details'!$A:$A,0),1,,,"SPEC Details"),$W81)</f>
        <v>H8000_E</v>
      </c>
      <c r="C81" s="90" t="s">
        <v>295</v>
      </c>
      <c r="D81" s="11" t="s">
        <v>830</v>
      </c>
      <c r="E81" s="13" t="s">
        <v>3</v>
      </c>
      <c r="F81" s="12" t="s">
        <v>367</v>
      </c>
      <c r="G81" s="89" t="s">
        <v>1123</v>
      </c>
      <c r="H81" s="11" t="s">
        <v>32</v>
      </c>
      <c r="I81" s="89" t="s">
        <v>952</v>
      </c>
      <c r="J81" s="13"/>
      <c r="K81" s="89"/>
      <c r="L81" s="89" t="s">
        <v>134</v>
      </c>
      <c r="M81" s="89" t="s">
        <v>134</v>
      </c>
      <c r="N81" s="89"/>
      <c r="O81" s="89"/>
      <c r="P81" s="89"/>
      <c r="Q81" s="89"/>
      <c r="R81" s="89"/>
      <c r="S81" s="89"/>
      <c r="T81" s="89"/>
      <c r="U81" s="36">
        <v>101</v>
      </c>
      <c r="V81" s="112" t="s">
        <v>1510</v>
      </c>
      <c r="W81" s="9" t="s">
        <v>873</v>
      </c>
    </row>
    <row r="82" spans="1:32" s="20" customFormat="1" ht="78.75">
      <c r="A82" s="35"/>
      <c r="B82" s="264" t="str">
        <f>HYPERLINK("#"&amp;ADDRESS(MATCH($W82,'SPEC Details'!$A:$A,0),1,,,"SPEC Details"),$W82)</f>
        <v>H906F</v>
      </c>
      <c r="C82" s="265" t="s">
        <v>1521</v>
      </c>
      <c r="D82" s="89" t="s">
        <v>830</v>
      </c>
      <c r="E82" s="265" t="s">
        <v>1418</v>
      </c>
      <c r="F82" s="236" t="s">
        <v>1206</v>
      </c>
      <c r="G82" s="265" t="s">
        <v>1364</v>
      </c>
      <c r="H82" s="236" t="s">
        <v>1207</v>
      </c>
      <c r="I82" s="236" t="s">
        <v>1208</v>
      </c>
      <c r="J82" s="236" t="s">
        <v>134</v>
      </c>
      <c r="K82" s="266"/>
      <c r="L82" s="266"/>
      <c r="M82" s="266"/>
      <c r="N82" s="236" t="s">
        <v>134</v>
      </c>
      <c r="O82" s="236" t="s">
        <v>134</v>
      </c>
      <c r="P82" s="266"/>
      <c r="Q82" s="266"/>
      <c r="R82" s="266"/>
      <c r="S82" s="266"/>
      <c r="T82" s="266"/>
      <c r="U82" s="266"/>
      <c r="V82" s="112" t="s">
        <v>1510</v>
      </c>
      <c r="W82" s="267" t="s">
        <v>1209</v>
      </c>
      <c r="X82" s="266"/>
      <c r="Y82" s="266"/>
      <c r="Z82" s="266"/>
      <c r="AA82" s="266"/>
      <c r="AB82" s="266"/>
      <c r="AC82" s="266"/>
      <c r="AD82" s="268">
        <v>71</v>
      </c>
      <c r="AE82" s="237" t="s">
        <v>1409</v>
      </c>
      <c r="AF82" s="267" t="s">
        <v>1209</v>
      </c>
    </row>
    <row r="83" spans="1:32" s="20" customFormat="1" ht="78.75">
      <c r="A83" s="35"/>
      <c r="B83" s="264" t="str">
        <f>HYPERLINK("#"&amp;ADDRESS(MATCH($W83,'SPEC Details'!$A:$A,0),1,,,"SPEC Details"),$W83)</f>
        <v>I006F_FBB1</v>
      </c>
      <c r="C83" s="265" t="s">
        <v>1525</v>
      </c>
      <c r="D83" s="89" t="s">
        <v>830</v>
      </c>
      <c r="E83" s="265" t="s">
        <v>1410</v>
      </c>
      <c r="F83" s="236" t="s">
        <v>1404</v>
      </c>
      <c r="G83" s="265" t="s">
        <v>1365</v>
      </c>
      <c r="H83" s="236" t="s">
        <v>1207</v>
      </c>
      <c r="I83" s="236" t="s">
        <v>1208</v>
      </c>
      <c r="J83" s="236" t="s">
        <v>134</v>
      </c>
      <c r="K83" s="266"/>
      <c r="L83" s="266"/>
      <c r="M83" s="266"/>
      <c r="N83" s="236" t="s">
        <v>134</v>
      </c>
      <c r="O83" s="236" t="s">
        <v>134</v>
      </c>
      <c r="P83" s="266"/>
      <c r="Q83" s="266"/>
      <c r="R83" s="266"/>
      <c r="S83" s="266"/>
      <c r="T83" s="266"/>
      <c r="U83" s="266"/>
      <c r="V83" s="112" t="s">
        <v>1510</v>
      </c>
      <c r="W83" s="267" t="s">
        <v>1210</v>
      </c>
      <c r="X83" s="266"/>
      <c r="Y83" s="266"/>
      <c r="Z83" s="266"/>
      <c r="AA83" s="266"/>
      <c r="AB83" s="266"/>
      <c r="AC83" s="266"/>
      <c r="AD83" s="268">
        <v>80</v>
      </c>
      <c r="AE83" s="237" t="s">
        <v>1409</v>
      </c>
      <c r="AF83" s="267" t="s">
        <v>1210</v>
      </c>
    </row>
    <row r="84" spans="1:32" s="20" customFormat="1" ht="78.75">
      <c r="A84" s="35"/>
      <c r="B84" s="264" t="str">
        <f>HYPERLINK("#"&amp;ADDRESS(MATCH($W84,'SPEC Details'!$A:$A,0),1,,,"SPEC Details"),$W84)</f>
        <v>I006F_FBB2</v>
      </c>
      <c r="C84" s="265" t="s">
        <v>1390</v>
      </c>
      <c r="D84" s="89" t="s">
        <v>830</v>
      </c>
      <c r="E84" s="265" t="s">
        <v>1492</v>
      </c>
      <c r="F84" s="236" t="s">
        <v>1403</v>
      </c>
      <c r="G84" s="265" t="s">
        <v>1366</v>
      </c>
      <c r="H84" s="236" t="s">
        <v>1177</v>
      </c>
      <c r="I84" s="236" t="s">
        <v>1211</v>
      </c>
      <c r="J84" s="236" t="s">
        <v>134</v>
      </c>
      <c r="K84" s="266"/>
      <c r="L84" s="266"/>
      <c r="M84" s="266"/>
      <c r="N84" s="236" t="s">
        <v>134</v>
      </c>
      <c r="O84" s="236" t="s">
        <v>134</v>
      </c>
      <c r="P84" s="266"/>
      <c r="Q84" s="266"/>
      <c r="R84" s="266"/>
      <c r="S84" s="266"/>
      <c r="T84" s="266"/>
      <c r="U84" s="266"/>
      <c r="V84" s="112" t="s">
        <v>1510</v>
      </c>
      <c r="W84" s="267" t="s">
        <v>1212</v>
      </c>
      <c r="X84" s="266"/>
      <c r="Y84" s="266"/>
      <c r="Z84" s="266"/>
      <c r="AA84" s="266"/>
      <c r="AB84" s="266"/>
      <c r="AC84" s="266"/>
      <c r="AD84" s="268">
        <v>80</v>
      </c>
      <c r="AE84" s="237" t="s">
        <v>1409</v>
      </c>
      <c r="AF84" s="267" t="s">
        <v>1212</v>
      </c>
    </row>
    <row r="85" spans="1:32" s="20" customFormat="1" ht="78.75">
      <c r="A85" s="35"/>
      <c r="B85" s="264" t="str">
        <f>HYPERLINK("#"&amp;ADDRESS(MATCH($W85,'SPEC Details'!$A:$A,0),1,,,"SPEC Details"),$W85)</f>
        <v>I006F_FBC1</v>
      </c>
      <c r="C85" s="265" t="s">
        <v>1391</v>
      </c>
      <c r="D85" s="89" t="s">
        <v>830</v>
      </c>
      <c r="E85" s="265" t="s">
        <v>1420</v>
      </c>
      <c r="F85" s="236" t="s">
        <v>1405</v>
      </c>
      <c r="G85" s="265" t="s">
        <v>1367</v>
      </c>
      <c r="H85" s="236" t="s">
        <v>1207</v>
      </c>
      <c r="I85" s="236" t="s">
        <v>1208</v>
      </c>
      <c r="J85" s="236" t="s">
        <v>134</v>
      </c>
      <c r="K85" s="266"/>
      <c r="L85" s="266"/>
      <c r="M85" s="266"/>
      <c r="N85" s="236" t="s">
        <v>134</v>
      </c>
      <c r="O85" s="236" t="s">
        <v>134</v>
      </c>
      <c r="P85" s="266"/>
      <c r="Q85" s="266"/>
      <c r="R85" s="266"/>
      <c r="S85" s="266"/>
      <c r="T85" s="266"/>
      <c r="U85" s="266"/>
      <c r="V85" s="112" t="s">
        <v>1510</v>
      </c>
      <c r="W85" s="267" t="s">
        <v>1213</v>
      </c>
      <c r="X85" s="266"/>
      <c r="Y85" s="266"/>
      <c r="Z85" s="266"/>
      <c r="AA85" s="266"/>
      <c r="AB85" s="266"/>
      <c r="AC85" s="266"/>
      <c r="AD85" s="268">
        <v>80</v>
      </c>
      <c r="AE85" s="237" t="s">
        <v>1409</v>
      </c>
      <c r="AF85" s="267" t="s">
        <v>1213</v>
      </c>
    </row>
    <row r="86" spans="1:32" s="20" customFormat="1" ht="78.75">
      <c r="A86" s="35"/>
      <c r="B86" s="264" t="str">
        <f>HYPERLINK("#"&amp;ADDRESS(MATCH($W86,'SPEC Details'!$A:$A,0),1,,,"SPEC Details"),$W86)</f>
        <v>I006F_FBC4</v>
      </c>
      <c r="C86" s="265" t="s">
        <v>1392</v>
      </c>
      <c r="D86" s="89" t="s">
        <v>830</v>
      </c>
      <c r="E86" s="265" t="s">
        <v>1493</v>
      </c>
      <c r="F86" s="236" t="s">
        <v>1406</v>
      </c>
      <c r="G86" s="265" t="s">
        <v>1368</v>
      </c>
      <c r="H86" s="236" t="s">
        <v>1177</v>
      </c>
      <c r="I86" s="236" t="s">
        <v>1211</v>
      </c>
      <c r="J86" s="236" t="s">
        <v>134</v>
      </c>
      <c r="K86" s="266"/>
      <c r="L86" s="266"/>
      <c r="M86" s="266"/>
      <c r="N86" s="236" t="s">
        <v>134</v>
      </c>
      <c r="O86" s="236" t="s">
        <v>134</v>
      </c>
      <c r="P86" s="266"/>
      <c r="Q86" s="266"/>
      <c r="R86" s="266"/>
      <c r="S86" s="266"/>
      <c r="T86" s="266"/>
      <c r="U86" s="266"/>
      <c r="V86" s="112" t="s">
        <v>1510</v>
      </c>
      <c r="W86" s="267" t="s">
        <v>1214</v>
      </c>
      <c r="X86" s="266"/>
      <c r="Y86" s="266"/>
      <c r="Z86" s="266"/>
      <c r="AA86" s="266"/>
      <c r="AB86" s="266"/>
      <c r="AC86" s="266"/>
      <c r="AD86" s="268">
        <v>80</v>
      </c>
      <c r="AE86" s="237" t="s">
        <v>1409</v>
      </c>
      <c r="AF86" s="267" t="s">
        <v>1214</v>
      </c>
    </row>
    <row r="87" spans="1:32" s="20" customFormat="1" ht="78.75">
      <c r="A87" s="35"/>
      <c r="B87" s="264" t="str">
        <f>HYPERLINK("#"&amp;ADDRESS(MATCH($W87,'SPEC Details'!$A:$A,0),1,,,"SPEC Details"),$W87)</f>
        <v>I006F_FBC2</v>
      </c>
      <c r="C87" s="265" t="s">
        <v>1393</v>
      </c>
      <c r="D87" s="89" t="s">
        <v>830</v>
      </c>
      <c r="E87" s="265" t="s">
        <v>1425</v>
      </c>
      <c r="F87" s="236" t="s">
        <v>1407</v>
      </c>
      <c r="G87" s="265" t="s">
        <v>1369</v>
      </c>
      <c r="H87" s="236" t="s">
        <v>1207</v>
      </c>
      <c r="I87" s="236" t="s">
        <v>1208</v>
      </c>
      <c r="J87" s="236" t="s">
        <v>134</v>
      </c>
      <c r="K87" s="266"/>
      <c r="L87" s="266"/>
      <c r="M87" s="266"/>
      <c r="N87" s="236" t="s">
        <v>134</v>
      </c>
      <c r="O87" s="236" t="s">
        <v>134</v>
      </c>
      <c r="P87" s="266"/>
      <c r="Q87" s="266"/>
      <c r="R87" s="266"/>
      <c r="S87" s="266"/>
      <c r="T87" s="266"/>
      <c r="U87" s="266"/>
      <c r="V87" s="112" t="s">
        <v>1510</v>
      </c>
      <c r="W87" s="267" t="s">
        <v>1215</v>
      </c>
      <c r="X87" s="266"/>
      <c r="Y87" s="266"/>
      <c r="Z87" s="266"/>
      <c r="AA87" s="266"/>
      <c r="AB87" s="266"/>
      <c r="AC87" s="266"/>
      <c r="AD87" s="268">
        <v>80</v>
      </c>
      <c r="AE87" s="237" t="s">
        <v>1409</v>
      </c>
      <c r="AF87" s="267" t="s">
        <v>1215</v>
      </c>
    </row>
    <row r="88" spans="1:32" s="20" customFormat="1" ht="78.75">
      <c r="A88" s="35"/>
      <c r="B88" s="264" t="str">
        <f>HYPERLINK("#"&amp;ADDRESS(MATCH($W88,'SPEC Details'!$A:$A,0),1,,,"SPEC Details"),$W88)</f>
        <v>I006F_FBC5</v>
      </c>
      <c r="C88" s="265" t="s">
        <v>1394</v>
      </c>
      <c r="D88" s="89" t="s">
        <v>830</v>
      </c>
      <c r="E88" s="265" t="s">
        <v>1494</v>
      </c>
      <c r="F88" s="236" t="s">
        <v>1408</v>
      </c>
      <c r="G88" s="265" t="s">
        <v>1370</v>
      </c>
      <c r="H88" s="236" t="s">
        <v>1177</v>
      </c>
      <c r="I88" s="236" t="s">
        <v>1211</v>
      </c>
      <c r="J88" s="236" t="s">
        <v>134</v>
      </c>
      <c r="K88" s="266"/>
      <c r="L88" s="266"/>
      <c r="M88" s="266"/>
      <c r="N88" s="236" t="s">
        <v>134</v>
      </c>
      <c r="O88" s="236" t="s">
        <v>134</v>
      </c>
      <c r="P88" s="266"/>
      <c r="Q88" s="266"/>
      <c r="R88" s="266"/>
      <c r="S88" s="266"/>
      <c r="T88" s="266"/>
      <c r="U88" s="266"/>
      <c r="V88" s="112" t="s">
        <v>1510</v>
      </c>
      <c r="W88" s="267" t="s">
        <v>1216</v>
      </c>
      <c r="X88" s="266"/>
      <c r="Y88" s="266"/>
      <c r="Z88" s="266"/>
      <c r="AA88" s="266"/>
      <c r="AB88" s="266"/>
      <c r="AC88" s="266"/>
      <c r="AD88" s="268">
        <v>80</v>
      </c>
      <c r="AE88" s="237" t="s">
        <v>1409</v>
      </c>
      <c r="AF88" s="267" t="s">
        <v>1216</v>
      </c>
    </row>
    <row r="89" spans="1:32" s="20" customFormat="1" ht="78.75">
      <c r="A89" s="35"/>
      <c r="B89" s="264" t="str">
        <f>HYPERLINK("#"&amp;ADDRESS(MATCH($W89,'SPEC Details'!$A:$A,0),1,,,"SPEC Details"),$W89)</f>
        <v>I006F_FBD1</v>
      </c>
      <c r="C89" s="265" t="s">
        <v>1395</v>
      </c>
      <c r="D89" s="89" t="s">
        <v>830</v>
      </c>
      <c r="E89" s="265" t="s">
        <v>1411</v>
      </c>
      <c r="F89" s="236" t="s">
        <v>1217</v>
      </c>
      <c r="G89" s="265" t="s">
        <v>1371</v>
      </c>
      <c r="H89" s="236" t="s">
        <v>1207</v>
      </c>
      <c r="I89" s="236" t="s">
        <v>1208</v>
      </c>
      <c r="J89" s="236" t="s">
        <v>134</v>
      </c>
      <c r="K89" s="266"/>
      <c r="L89" s="266"/>
      <c r="M89" s="266"/>
      <c r="N89" s="236" t="s">
        <v>134</v>
      </c>
      <c r="O89" s="236" t="s">
        <v>134</v>
      </c>
      <c r="P89" s="266"/>
      <c r="Q89" s="266"/>
      <c r="R89" s="266"/>
      <c r="S89" s="266"/>
      <c r="T89" s="266"/>
      <c r="U89" s="266"/>
      <c r="V89" s="112" t="s">
        <v>1510</v>
      </c>
      <c r="W89" s="267" t="s">
        <v>1218</v>
      </c>
      <c r="X89" s="266"/>
      <c r="Y89" s="266"/>
      <c r="Z89" s="266"/>
      <c r="AA89" s="266"/>
      <c r="AB89" s="266"/>
      <c r="AC89" s="266"/>
      <c r="AD89" s="268">
        <v>80</v>
      </c>
      <c r="AE89" s="237" t="s">
        <v>1409</v>
      </c>
      <c r="AF89" s="267" t="s">
        <v>1218</v>
      </c>
    </row>
    <row r="90" spans="1:32" s="20" customFormat="1" ht="78.75">
      <c r="A90" s="35"/>
      <c r="B90" s="264" t="str">
        <f>HYPERLINK("#"&amp;ADDRESS(MATCH($W90,'SPEC Details'!$A:$A,0),1,,,"SPEC Details"),$W90)</f>
        <v>I006F_FBE1</v>
      </c>
      <c r="C90" s="265" t="s">
        <v>1396</v>
      </c>
      <c r="D90" s="89" t="s">
        <v>830</v>
      </c>
      <c r="E90" s="265" t="s">
        <v>1421</v>
      </c>
      <c r="F90" s="236"/>
      <c r="G90" s="265" t="s">
        <v>1372</v>
      </c>
      <c r="H90" s="236" t="s">
        <v>1207</v>
      </c>
      <c r="I90" s="236" t="s">
        <v>1208</v>
      </c>
      <c r="J90" s="236" t="s">
        <v>134</v>
      </c>
      <c r="K90" s="266"/>
      <c r="L90" s="266"/>
      <c r="M90" s="266"/>
      <c r="N90" s="236" t="s">
        <v>134</v>
      </c>
      <c r="O90" s="236" t="s">
        <v>134</v>
      </c>
      <c r="P90" s="266"/>
      <c r="Q90" s="266"/>
      <c r="R90" s="266"/>
      <c r="S90" s="266"/>
      <c r="T90" s="266"/>
      <c r="U90" s="266"/>
      <c r="V90" s="112" t="s">
        <v>1510</v>
      </c>
      <c r="W90" s="267" t="s">
        <v>1219</v>
      </c>
      <c r="X90" s="266"/>
      <c r="Y90" s="266"/>
      <c r="Z90" s="266"/>
      <c r="AA90" s="266"/>
      <c r="AB90" s="266"/>
      <c r="AC90" s="266"/>
      <c r="AD90" s="268">
        <v>80</v>
      </c>
      <c r="AE90" s="237" t="s">
        <v>1409</v>
      </c>
      <c r="AF90" s="267" t="s">
        <v>1219</v>
      </c>
    </row>
    <row r="91" spans="1:32" s="20" customFormat="1" ht="78.75">
      <c r="A91" s="35"/>
      <c r="B91" s="264" t="str">
        <f>HYPERLINK("#"&amp;ADDRESS(MATCH($W91,'SPEC Details'!$A:$A,0),1,,,"SPEC Details"),$W91)</f>
        <v>I006F_FBF1</v>
      </c>
      <c r="C91" s="265" t="s">
        <v>1397</v>
      </c>
      <c r="D91" s="89" t="s">
        <v>830</v>
      </c>
      <c r="E91" s="265" t="s">
        <v>1412</v>
      </c>
      <c r="F91" s="236" t="s">
        <v>1220</v>
      </c>
      <c r="G91" s="265" t="s">
        <v>1373</v>
      </c>
      <c r="H91" s="236" t="s">
        <v>1207</v>
      </c>
      <c r="I91" s="236" t="s">
        <v>1208</v>
      </c>
      <c r="J91" s="236" t="s">
        <v>134</v>
      </c>
      <c r="K91" s="266"/>
      <c r="L91" s="266"/>
      <c r="M91" s="266"/>
      <c r="N91" s="236" t="s">
        <v>134</v>
      </c>
      <c r="O91" s="236" t="s">
        <v>134</v>
      </c>
      <c r="P91" s="266"/>
      <c r="Q91" s="266"/>
      <c r="R91" s="266"/>
      <c r="S91" s="266"/>
      <c r="T91" s="266"/>
      <c r="U91" s="266"/>
      <c r="V91" s="112" t="s">
        <v>1510</v>
      </c>
      <c r="W91" s="267" t="s">
        <v>1221</v>
      </c>
      <c r="X91" s="266"/>
      <c r="Y91" s="266"/>
      <c r="Z91" s="266"/>
      <c r="AA91" s="266"/>
      <c r="AB91" s="266"/>
      <c r="AC91" s="266"/>
      <c r="AD91" s="268">
        <v>80</v>
      </c>
      <c r="AE91" s="237" t="s">
        <v>1409</v>
      </c>
      <c r="AF91" s="267" t="s">
        <v>1221</v>
      </c>
    </row>
    <row r="92" spans="1:32" s="20" customFormat="1" ht="78.75">
      <c r="A92" s="35"/>
      <c r="B92" s="264" t="str">
        <f>HYPERLINK("#"&amp;ADDRESS(MATCH($W92,'SPEC Details'!$A:$A,0),1,,,"SPEC Details"),$W92)</f>
        <v>I006F_FBF2</v>
      </c>
      <c r="C92" s="265" t="s">
        <v>1398</v>
      </c>
      <c r="D92" s="89" t="s">
        <v>830</v>
      </c>
      <c r="E92" s="265" t="s">
        <v>1413</v>
      </c>
      <c r="F92" s="236" t="s">
        <v>1220</v>
      </c>
      <c r="G92" s="265" t="s">
        <v>1374</v>
      </c>
      <c r="H92" s="236" t="s">
        <v>1207</v>
      </c>
      <c r="I92" s="236" t="s">
        <v>1208</v>
      </c>
      <c r="J92" s="236" t="s">
        <v>134</v>
      </c>
      <c r="K92" s="266"/>
      <c r="L92" s="266"/>
      <c r="M92" s="266"/>
      <c r="N92" s="236" t="s">
        <v>134</v>
      </c>
      <c r="O92" s="236" t="s">
        <v>134</v>
      </c>
      <c r="P92" s="266"/>
      <c r="Q92" s="266"/>
      <c r="R92" s="266"/>
      <c r="S92" s="266"/>
      <c r="T92" s="266"/>
      <c r="U92" s="266"/>
      <c r="V92" s="112" t="s">
        <v>1510</v>
      </c>
      <c r="W92" s="267" t="s">
        <v>1222</v>
      </c>
      <c r="X92" s="266"/>
      <c r="Y92" s="266"/>
      <c r="Z92" s="266"/>
      <c r="AA92" s="266"/>
      <c r="AB92" s="266"/>
      <c r="AC92" s="266"/>
      <c r="AD92" s="268">
        <v>80</v>
      </c>
      <c r="AE92" s="237" t="s">
        <v>1409</v>
      </c>
      <c r="AF92" s="267" t="s">
        <v>1222</v>
      </c>
    </row>
    <row r="93" spans="1:32" s="20" customFormat="1" ht="78.75">
      <c r="A93" s="35"/>
      <c r="B93" s="264" t="str">
        <f>HYPERLINK("#"&amp;ADDRESS(MATCH($W93,'SPEC Details'!$A:$A,0),1,,,"SPEC Details"),$W93)</f>
        <v>I006F_FBG1</v>
      </c>
      <c r="C93" s="265" t="s">
        <v>1399</v>
      </c>
      <c r="D93" s="89" t="s">
        <v>830</v>
      </c>
      <c r="E93" s="265" t="s">
        <v>1426</v>
      </c>
      <c r="F93" s="236" t="s">
        <v>1220</v>
      </c>
      <c r="G93" s="265" t="s">
        <v>1375</v>
      </c>
      <c r="H93" s="236" t="s">
        <v>1207</v>
      </c>
      <c r="I93" s="236" t="s">
        <v>1208</v>
      </c>
      <c r="J93" s="236" t="s">
        <v>134</v>
      </c>
      <c r="K93" s="266"/>
      <c r="L93" s="266"/>
      <c r="M93" s="266"/>
      <c r="N93" s="236" t="s">
        <v>134</v>
      </c>
      <c r="O93" s="236" t="s">
        <v>134</v>
      </c>
      <c r="P93" s="266"/>
      <c r="Q93" s="266"/>
      <c r="R93" s="266"/>
      <c r="S93" s="266"/>
      <c r="T93" s="266"/>
      <c r="U93" s="266"/>
      <c r="V93" s="112" t="s">
        <v>1510</v>
      </c>
      <c r="W93" s="267" t="s">
        <v>1223</v>
      </c>
      <c r="X93" s="266"/>
      <c r="Y93" s="266"/>
      <c r="Z93" s="266"/>
      <c r="AA93" s="266"/>
      <c r="AB93" s="266"/>
      <c r="AC93" s="266"/>
      <c r="AD93" s="268">
        <v>80</v>
      </c>
      <c r="AE93" s="237" t="s">
        <v>1409</v>
      </c>
      <c r="AF93" s="267" t="s">
        <v>1223</v>
      </c>
    </row>
    <row r="94" spans="1:32" s="20" customFormat="1" ht="78.75">
      <c r="A94" s="35"/>
      <c r="B94" s="264" t="str">
        <f>HYPERLINK("#"&amp;ADDRESS(MATCH($W94,'SPEC Details'!$A:$A,0),1,,,"SPEC Details"),$W94)</f>
        <v>I006F_CBA1</v>
      </c>
      <c r="C94" s="265" t="s">
        <v>1400</v>
      </c>
      <c r="D94" s="89" t="s">
        <v>830</v>
      </c>
      <c r="E94" s="265" t="s">
        <v>1419</v>
      </c>
      <c r="F94" s="236" t="s">
        <v>1402</v>
      </c>
      <c r="G94" s="265" t="s">
        <v>1376</v>
      </c>
      <c r="H94" s="236" t="s">
        <v>1207</v>
      </c>
      <c r="I94" s="236" t="s">
        <v>1208</v>
      </c>
      <c r="J94" s="236" t="s">
        <v>134</v>
      </c>
      <c r="K94" s="266"/>
      <c r="L94" s="266"/>
      <c r="M94" s="266"/>
      <c r="N94" s="236" t="s">
        <v>134</v>
      </c>
      <c r="O94" s="236" t="s">
        <v>134</v>
      </c>
      <c r="P94" s="266"/>
      <c r="Q94" s="266"/>
      <c r="R94" s="266"/>
      <c r="S94" s="266"/>
      <c r="T94" s="266"/>
      <c r="U94" s="266"/>
      <c r="V94" s="112" t="s">
        <v>1510</v>
      </c>
      <c r="W94" s="267" t="s">
        <v>1224</v>
      </c>
      <c r="X94" s="266"/>
      <c r="Y94" s="266"/>
      <c r="Z94" s="266"/>
      <c r="AA94" s="266"/>
      <c r="AB94" s="266"/>
      <c r="AC94" s="266"/>
      <c r="AD94" s="268">
        <v>80</v>
      </c>
      <c r="AE94" s="237" t="s">
        <v>1409</v>
      </c>
      <c r="AF94" s="267" t="s">
        <v>1224</v>
      </c>
    </row>
    <row r="95" spans="1:32" s="20" customFormat="1" ht="78.75">
      <c r="A95" s="35"/>
      <c r="B95" s="264" t="str">
        <f>HYPERLINK("#"&amp;ADDRESS(MATCH($W95,'SPEC Details'!$A:$A,0),1,,,"SPEC Details"),$W95)</f>
        <v>I006F_CBA2</v>
      </c>
      <c r="C95" s="265" t="s">
        <v>1401</v>
      </c>
      <c r="D95" s="89" t="s">
        <v>830</v>
      </c>
      <c r="E95" s="265" t="s">
        <v>1427</v>
      </c>
      <c r="F95" s="236" t="s">
        <v>1402</v>
      </c>
      <c r="G95" s="265" t="s">
        <v>1377</v>
      </c>
      <c r="H95" s="236" t="s">
        <v>1207</v>
      </c>
      <c r="I95" s="236" t="s">
        <v>1208</v>
      </c>
      <c r="J95" s="236" t="s">
        <v>134</v>
      </c>
      <c r="K95" s="266"/>
      <c r="L95" s="266"/>
      <c r="M95" s="266"/>
      <c r="N95" s="236" t="s">
        <v>134</v>
      </c>
      <c r="O95" s="236" t="s">
        <v>134</v>
      </c>
      <c r="P95" s="266"/>
      <c r="Q95" s="266"/>
      <c r="R95" s="266"/>
      <c r="S95" s="266"/>
      <c r="T95" s="266"/>
      <c r="U95" s="266"/>
      <c r="V95" s="112" t="s">
        <v>1510</v>
      </c>
      <c r="W95" s="267" t="s">
        <v>1225</v>
      </c>
      <c r="X95" s="266"/>
      <c r="Y95" s="266"/>
      <c r="Z95" s="266"/>
      <c r="AA95" s="266"/>
      <c r="AB95" s="266"/>
      <c r="AC95" s="266"/>
      <c r="AD95" s="268">
        <v>80</v>
      </c>
      <c r="AE95" s="237" t="s">
        <v>1409</v>
      </c>
      <c r="AF95" s="267" t="s">
        <v>1225</v>
      </c>
    </row>
    <row r="96" spans="1:32" s="20" customFormat="1" ht="78.75">
      <c r="A96" s="35"/>
      <c r="B96" s="264" t="str">
        <f>HYPERLINK("#"&amp;ADDRESS(MATCH($W96,'SPEC Details'!$A:$A,0),1,,,"SPEC Details"),$W96)</f>
        <v>I106F_FOC1</v>
      </c>
      <c r="C96" s="265" t="s">
        <v>1526</v>
      </c>
      <c r="D96" s="89" t="s">
        <v>830</v>
      </c>
      <c r="E96" s="265" t="s">
        <v>1414</v>
      </c>
      <c r="F96" s="236" t="s">
        <v>1226</v>
      </c>
      <c r="G96" s="265" t="s">
        <v>1378</v>
      </c>
      <c r="H96" s="236" t="s">
        <v>1207</v>
      </c>
      <c r="I96" s="236" t="s">
        <v>1208</v>
      </c>
      <c r="J96" s="236" t="s">
        <v>134</v>
      </c>
      <c r="K96" s="266"/>
      <c r="L96" s="266"/>
      <c r="M96" s="266"/>
      <c r="N96" s="236" t="s">
        <v>134</v>
      </c>
      <c r="O96" s="236" t="s">
        <v>134</v>
      </c>
      <c r="P96" s="266"/>
      <c r="Q96" s="266"/>
      <c r="R96" s="266"/>
      <c r="S96" s="266"/>
      <c r="T96" s="266"/>
      <c r="U96" s="266"/>
      <c r="V96" s="112" t="s">
        <v>1510</v>
      </c>
      <c r="W96" s="267" t="s">
        <v>1227</v>
      </c>
      <c r="X96" s="266"/>
      <c r="Y96" s="266"/>
      <c r="Z96" s="266"/>
      <c r="AA96" s="266"/>
      <c r="AB96" s="266"/>
      <c r="AC96" s="266"/>
      <c r="AD96" s="268">
        <v>80</v>
      </c>
      <c r="AE96" s="237" t="s">
        <v>1409</v>
      </c>
      <c r="AF96" s="267" t="s">
        <v>1227</v>
      </c>
    </row>
    <row r="97" spans="1:32" s="20" customFormat="1" ht="78.75">
      <c r="A97" s="35"/>
      <c r="B97" s="264" t="str">
        <f>HYPERLINK("#"&amp;ADDRESS(MATCH($W97,'SPEC Details'!$A:$A,0),1,,,"SPEC Details"),$W97)</f>
        <v>I106F_FOD1</v>
      </c>
      <c r="C97" s="265" t="s">
        <v>1498</v>
      </c>
      <c r="D97" s="89" t="s">
        <v>830</v>
      </c>
      <c r="E97" s="265" t="s">
        <v>1415</v>
      </c>
      <c r="F97" s="236" t="s">
        <v>1228</v>
      </c>
      <c r="G97" s="265" t="s">
        <v>1379</v>
      </c>
      <c r="H97" s="236" t="s">
        <v>1207</v>
      </c>
      <c r="I97" s="236" t="s">
        <v>1208</v>
      </c>
      <c r="J97" s="236" t="s">
        <v>134</v>
      </c>
      <c r="K97" s="266"/>
      <c r="L97" s="266"/>
      <c r="M97" s="266"/>
      <c r="N97" s="236" t="s">
        <v>134</v>
      </c>
      <c r="O97" s="236" t="s">
        <v>134</v>
      </c>
      <c r="P97" s="266"/>
      <c r="Q97" s="266"/>
      <c r="R97" s="266"/>
      <c r="S97" s="266"/>
      <c r="T97" s="266"/>
      <c r="U97" s="266"/>
      <c r="V97" s="112" t="s">
        <v>1510</v>
      </c>
      <c r="W97" s="267" t="s">
        <v>1229</v>
      </c>
      <c r="X97" s="266"/>
      <c r="Y97" s="266"/>
      <c r="Z97" s="266"/>
      <c r="AA97" s="266"/>
      <c r="AB97" s="266"/>
      <c r="AC97" s="266"/>
      <c r="AD97" s="268">
        <v>80</v>
      </c>
      <c r="AE97" s="237" t="s">
        <v>1409</v>
      </c>
      <c r="AF97" s="267" t="s">
        <v>1229</v>
      </c>
    </row>
    <row r="98" spans="1:32" s="20" customFormat="1" ht="78.75">
      <c r="A98" s="35"/>
      <c r="B98" s="264" t="str">
        <f>HYPERLINK("#"&amp;ADDRESS(MATCH($W98,'SPEC Details'!$A:$A,0),1,,,"SPEC Details"),$W98)</f>
        <v>I106F_FOE1</v>
      </c>
      <c r="C98" s="265" t="s">
        <v>1499</v>
      </c>
      <c r="D98" s="89" t="s">
        <v>830</v>
      </c>
      <c r="E98" s="265" t="s">
        <v>1422</v>
      </c>
      <c r="F98" s="236" t="s">
        <v>1226</v>
      </c>
      <c r="G98" s="265" t="s">
        <v>1380</v>
      </c>
      <c r="H98" s="236" t="s">
        <v>1207</v>
      </c>
      <c r="I98" s="236" t="s">
        <v>1208</v>
      </c>
      <c r="J98" s="236" t="s">
        <v>134</v>
      </c>
      <c r="K98" s="266"/>
      <c r="L98" s="266"/>
      <c r="M98" s="266"/>
      <c r="N98" s="236" t="s">
        <v>134</v>
      </c>
      <c r="O98" s="236" t="s">
        <v>134</v>
      </c>
      <c r="P98" s="266"/>
      <c r="Q98" s="266"/>
      <c r="R98" s="266"/>
      <c r="S98" s="266"/>
      <c r="T98" s="266"/>
      <c r="U98" s="266"/>
      <c r="V98" s="112" t="s">
        <v>1510</v>
      </c>
      <c r="W98" s="267" t="s">
        <v>1230</v>
      </c>
      <c r="X98" s="266"/>
      <c r="Y98" s="266"/>
      <c r="Z98" s="266"/>
      <c r="AA98" s="266"/>
      <c r="AB98" s="266"/>
      <c r="AC98" s="266"/>
      <c r="AD98" s="268">
        <v>80</v>
      </c>
      <c r="AE98" s="237" t="s">
        <v>1409</v>
      </c>
      <c r="AF98" s="267" t="s">
        <v>1230</v>
      </c>
    </row>
    <row r="99" spans="1:32" s="20" customFormat="1" ht="78.75">
      <c r="A99" s="35"/>
      <c r="B99" s="264" t="str">
        <f>HYPERLINK("#"&amp;ADDRESS(MATCH($W99,'SPEC Details'!$A:$A,0),1,,,"SPEC Details"),$W99)</f>
        <v>I106F_FOF1</v>
      </c>
      <c r="C99" s="265" t="s">
        <v>1500</v>
      </c>
      <c r="D99" s="89" t="s">
        <v>1187</v>
      </c>
      <c r="E99" s="265" t="s">
        <v>1416</v>
      </c>
      <c r="F99" s="236" t="s">
        <v>1231</v>
      </c>
      <c r="G99" s="265" t="s">
        <v>1381</v>
      </c>
      <c r="H99" s="236" t="s">
        <v>1207</v>
      </c>
      <c r="I99" s="236" t="s">
        <v>1208</v>
      </c>
      <c r="J99" s="236" t="s">
        <v>134</v>
      </c>
      <c r="K99" s="266"/>
      <c r="L99" s="266"/>
      <c r="M99" s="266"/>
      <c r="N99" s="236" t="s">
        <v>134</v>
      </c>
      <c r="O99" s="236" t="s">
        <v>134</v>
      </c>
      <c r="P99" s="266"/>
      <c r="Q99" s="266"/>
      <c r="R99" s="266"/>
      <c r="S99" s="266"/>
      <c r="T99" s="266"/>
      <c r="U99" s="266"/>
      <c r="V99" s="112" t="s">
        <v>1510</v>
      </c>
      <c r="W99" s="267" t="s">
        <v>1232</v>
      </c>
      <c r="X99" s="266"/>
      <c r="Y99" s="266"/>
      <c r="Z99" s="266"/>
      <c r="AA99" s="266"/>
      <c r="AB99" s="266"/>
      <c r="AC99" s="266"/>
      <c r="AD99" s="268">
        <v>80</v>
      </c>
      <c r="AE99" s="237" t="s">
        <v>1409</v>
      </c>
      <c r="AF99" s="267" t="s">
        <v>1232</v>
      </c>
    </row>
    <row r="100" spans="1:32" s="20" customFormat="1" ht="78.75">
      <c r="A100" s="35"/>
      <c r="B100" s="264" t="str">
        <f>HYPERLINK("#"&amp;ADDRESS(MATCH($W100,'SPEC Details'!$A:$A,0),1,,,"SPEC Details"),$W100)</f>
        <v>I106F_FOF2</v>
      </c>
      <c r="C100" s="265" t="s">
        <v>1501</v>
      </c>
      <c r="D100" s="89" t="s">
        <v>1187</v>
      </c>
      <c r="E100" s="265" t="s">
        <v>1495</v>
      </c>
      <c r="F100" s="269" t="s">
        <v>1233</v>
      </c>
      <c r="G100" s="265" t="s">
        <v>1382</v>
      </c>
      <c r="H100" s="236" t="s">
        <v>1207</v>
      </c>
      <c r="I100" s="236" t="s">
        <v>1208</v>
      </c>
      <c r="J100" s="236" t="s">
        <v>134</v>
      </c>
      <c r="K100" s="266"/>
      <c r="L100" s="266"/>
      <c r="M100" s="266"/>
      <c r="N100" s="236" t="s">
        <v>134</v>
      </c>
      <c r="O100" s="236" t="s">
        <v>134</v>
      </c>
      <c r="P100" s="266"/>
      <c r="Q100" s="266"/>
      <c r="R100" s="266"/>
      <c r="S100" s="266"/>
      <c r="T100" s="266"/>
      <c r="U100" s="266"/>
      <c r="V100" s="112" t="s">
        <v>1510</v>
      </c>
      <c r="W100" s="267" t="s">
        <v>1234</v>
      </c>
      <c r="X100" s="266"/>
      <c r="Y100" s="266"/>
      <c r="Z100" s="266"/>
      <c r="AA100" s="266"/>
      <c r="AB100" s="266"/>
      <c r="AC100" s="266"/>
      <c r="AD100" s="268">
        <v>80</v>
      </c>
      <c r="AE100" s="237" t="s">
        <v>1409</v>
      </c>
      <c r="AF100" s="267" t="s">
        <v>1234</v>
      </c>
    </row>
    <row r="101" spans="1:32" s="20" customFormat="1" ht="78.75">
      <c r="A101" s="35"/>
      <c r="B101" s="264" t="str">
        <f>HYPERLINK("#"&amp;ADDRESS(MATCH($W101,'SPEC Details'!$A:$A,0),1,,,"SPEC Details"),$W101)</f>
        <v>I106F_FOG1</v>
      </c>
      <c r="C101" s="265" t="s">
        <v>1502</v>
      </c>
      <c r="D101" s="89" t="s">
        <v>830</v>
      </c>
      <c r="E101" s="265" t="s">
        <v>1423</v>
      </c>
      <c r="F101" s="236"/>
      <c r="G101" s="265" t="s">
        <v>1383</v>
      </c>
      <c r="H101" s="236" t="s">
        <v>1207</v>
      </c>
      <c r="I101" s="236" t="s">
        <v>1208</v>
      </c>
      <c r="J101" s="236" t="s">
        <v>134</v>
      </c>
      <c r="K101" s="266"/>
      <c r="L101" s="266"/>
      <c r="M101" s="266"/>
      <c r="N101" s="236" t="s">
        <v>134</v>
      </c>
      <c r="O101" s="236" t="s">
        <v>134</v>
      </c>
      <c r="P101" s="266"/>
      <c r="Q101" s="266"/>
      <c r="R101" s="266"/>
      <c r="S101" s="266"/>
      <c r="T101" s="266"/>
      <c r="U101" s="266"/>
      <c r="V101" s="112" t="s">
        <v>1510</v>
      </c>
      <c r="W101" s="267" t="s">
        <v>1235</v>
      </c>
      <c r="X101" s="266"/>
      <c r="Y101" s="266"/>
      <c r="Z101" s="266"/>
      <c r="AA101" s="266"/>
      <c r="AB101" s="266"/>
      <c r="AC101" s="266"/>
      <c r="AD101" s="268">
        <v>80</v>
      </c>
      <c r="AE101" s="237" t="s">
        <v>1409</v>
      </c>
      <c r="AF101" s="267" t="s">
        <v>1235</v>
      </c>
    </row>
    <row r="102" spans="1:32" s="20" customFormat="1" ht="78.75">
      <c r="A102" s="35"/>
      <c r="B102" s="264" t="str">
        <f>HYPERLINK("#"&amp;ADDRESS(MATCH($W102,'SPEC Details'!$A:$A,0),1,,,"SPEC Details"),$W102)</f>
        <v>I106F_FOQ1</v>
      </c>
      <c r="C102" s="265" t="s">
        <v>1503</v>
      </c>
      <c r="D102" s="89" t="s">
        <v>830</v>
      </c>
      <c r="E102" s="265" t="s">
        <v>1507</v>
      </c>
      <c r="F102" s="236" t="s">
        <v>1236</v>
      </c>
      <c r="G102" s="265" t="s">
        <v>1384</v>
      </c>
      <c r="H102" s="236" t="s">
        <v>1207</v>
      </c>
      <c r="I102" s="236" t="s">
        <v>1208</v>
      </c>
      <c r="J102" s="236" t="s">
        <v>134</v>
      </c>
      <c r="K102" s="266"/>
      <c r="L102" s="266"/>
      <c r="M102" s="266"/>
      <c r="N102" s="236" t="s">
        <v>134</v>
      </c>
      <c r="O102" s="236" t="s">
        <v>134</v>
      </c>
      <c r="P102" s="266"/>
      <c r="Q102" s="266"/>
      <c r="R102" s="266"/>
      <c r="S102" s="266"/>
      <c r="T102" s="266"/>
      <c r="U102" s="266"/>
      <c r="V102" s="112" t="s">
        <v>1510</v>
      </c>
      <c r="W102" s="267" t="s">
        <v>1237</v>
      </c>
      <c r="X102" s="266"/>
      <c r="Y102" s="266"/>
      <c r="Z102" s="266"/>
      <c r="AA102" s="266"/>
      <c r="AB102" s="266"/>
      <c r="AC102" s="266"/>
      <c r="AD102" s="268">
        <v>80</v>
      </c>
      <c r="AE102" s="237" t="s">
        <v>1409</v>
      </c>
      <c r="AF102" s="267" t="s">
        <v>1237</v>
      </c>
    </row>
    <row r="103" spans="1:32" s="20" customFormat="1" ht="78.75">
      <c r="A103" s="35"/>
      <c r="B103" s="264" t="str">
        <f>HYPERLINK("#"&amp;ADDRESS(MATCH($W103,'SPEC Details'!$A:$A,0),1,,,"SPEC Details"),$W103)</f>
        <v>I106F_COA1</v>
      </c>
      <c r="C103" s="265" t="s">
        <v>1504</v>
      </c>
      <c r="D103" s="89" t="s">
        <v>830</v>
      </c>
      <c r="E103" s="265" t="s">
        <v>1417</v>
      </c>
      <c r="F103" s="236"/>
      <c r="G103" s="265" t="s">
        <v>1385</v>
      </c>
      <c r="H103" s="236" t="s">
        <v>1207</v>
      </c>
      <c r="I103" s="236" t="s">
        <v>1208</v>
      </c>
      <c r="J103" s="236" t="s">
        <v>134</v>
      </c>
      <c r="K103" s="266"/>
      <c r="L103" s="266"/>
      <c r="M103" s="266"/>
      <c r="N103" s="236" t="s">
        <v>134</v>
      </c>
      <c r="O103" s="236" t="s">
        <v>134</v>
      </c>
      <c r="P103" s="266"/>
      <c r="Q103" s="266"/>
      <c r="R103" s="266"/>
      <c r="S103" s="266"/>
      <c r="T103" s="266"/>
      <c r="U103" s="266"/>
      <c r="V103" s="112" t="s">
        <v>1510</v>
      </c>
      <c r="W103" s="267" t="s">
        <v>1238</v>
      </c>
      <c r="X103" s="266"/>
      <c r="Y103" s="266"/>
      <c r="Z103" s="266"/>
      <c r="AA103" s="266"/>
      <c r="AB103" s="266"/>
      <c r="AC103" s="266"/>
      <c r="AD103" s="268">
        <v>80</v>
      </c>
      <c r="AE103" s="237" t="s">
        <v>1409</v>
      </c>
      <c r="AF103" s="267" t="s">
        <v>1238</v>
      </c>
    </row>
    <row r="104" spans="1:32" s="20" customFormat="1" ht="78.75">
      <c r="A104" s="35"/>
      <c r="B104" s="264" t="str">
        <f>HYPERLINK("#"&amp;ADDRESS(MATCH($W104,'SPEC Details'!$A:$A,0),1,,,"SPEC Details"),$W104)</f>
        <v>I106F_UOD1</v>
      </c>
      <c r="C104" s="265" t="s">
        <v>1669</v>
      </c>
      <c r="D104" s="89" t="s">
        <v>830</v>
      </c>
      <c r="E104" s="265" t="s">
        <v>1497</v>
      </c>
      <c r="F104" s="236" t="s">
        <v>1226</v>
      </c>
      <c r="G104" s="265" t="s">
        <v>1386</v>
      </c>
      <c r="H104" s="236" t="s">
        <v>1207</v>
      </c>
      <c r="I104" s="236" t="s">
        <v>1208</v>
      </c>
      <c r="J104" s="236" t="s">
        <v>134</v>
      </c>
      <c r="K104" s="266"/>
      <c r="L104" s="266"/>
      <c r="M104" s="266"/>
      <c r="N104" s="236" t="s">
        <v>134</v>
      </c>
      <c r="O104" s="236" t="s">
        <v>134</v>
      </c>
      <c r="P104" s="266"/>
      <c r="Q104" s="266"/>
      <c r="R104" s="266"/>
      <c r="S104" s="266"/>
      <c r="T104" s="266"/>
      <c r="U104" s="266"/>
      <c r="V104" s="112" t="s">
        <v>1510</v>
      </c>
      <c r="W104" s="267" t="s">
        <v>1239</v>
      </c>
      <c r="X104" s="266"/>
      <c r="Y104" s="266"/>
      <c r="Z104" s="266"/>
      <c r="AA104" s="266"/>
      <c r="AB104" s="266"/>
      <c r="AC104" s="266"/>
      <c r="AD104" s="268">
        <v>80</v>
      </c>
      <c r="AE104" s="237" t="s">
        <v>1409</v>
      </c>
      <c r="AF104" s="267" t="s">
        <v>1239</v>
      </c>
    </row>
    <row r="105" spans="1:32" s="20" customFormat="1" ht="78.75">
      <c r="A105" s="35"/>
      <c r="B105" s="264" t="str">
        <f>HYPERLINK("#"&amp;ADDRESS(MATCH($W105,'SPEC Details'!$A:$A,0),1,,,"SPEC Details"),$W105)</f>
        <v>I106F_UOE1</v>
      </c>
      <c r="C105" s="265" t="s">
        <v>1505</v>
      </c>
      <c r="D105" s="89" t="s">
        <v>830</v>
      </c>
      <c r="E105" s="265" t="s">
        <v>1496</v>
      </c>
      <c r="F105" s="236" t="s">
        <v>1240</v>
      </c>
      <c r="G105" s="265" t="s">
        <v>1387</v>
      </c>
      <c r="H105" s="236" t="s">
        <v>1207</v>
      </c>
      <c r="I105" s="236" t="s">
        <v>1208</v>
      </c>
      <c r="J105" s="236" t="s">
        <v>134</v>
      </c>
      <c r="K105" s="266"/>
      <c r="L105" s="266"/>
      <c r="M105" s="266"/>
      <c r="N105" s="236" t="s">
        <v>134</v>
      </c>
      <c r="O105" s="236" t="s">
        <v>134</v>
      </c>
      <c r="P105" s="266"/>
      <c r="Q105" s="266"/>
      <c r="R105" s="266"/>
      <c r="S105" s="266"/>
      <c r="T105" s="266"/>
      <c r="U105" s="266"/>
      <c r="V105" s="112" t="s">
        <v>1510</v>
      </c>
      <c r="W105" s="267" t="s">
        <v>1241</v>
      </c>
      <c r="X105" s="266"/>
      <c r="Y105" s="266"/>
      <c r="Z105" s="266"/>
      <c r="AA105" s="266"/>
      <c r="AB105" s="266"/>
      <c r="AC105" s="266"/>
      <c r="AD105" s="268">
        <v>80</v>
      </c>
      <c r="AE105" s="237" t="s">
        <v>1409</v>
      </c>
      <c r="AF105" s="267" t="s">
        <v>1241</v>
      </c>
    </row>
    <row r="106" spans="1:32" s="20" customFormat="1" ht="78.75">
      <c r="A106" s="35"/>
      <c r="B106" s="264" t="str">
        <f>HYPERLINK("#"&amp;ADDRESS(MATCH($W106,'SPEC Details'!$A:$A,0),1,,,"SPEC Details"),$W106)</f>
        <v>I106F_FOT1</v>
      </c>
      <c r="C106" s="265" t="s">
        <v>1506</v>
      </c>
      <c r="D106" s="89" t="s">
        <v>830</v>
      </c>
      <c r="E106" s="265" t="s">
        <v>1428</v>
      </c>
      <c r="F106" s="269" t="s">
        <v>1233</v>
      </c>
      <c r="G106" s="265" t="s">
        <v>1388</v>
      </c>
      <c r="H106" s="236" t="s">
        <v>1207</v>
      </c>
      <c r="I106" s="236" t="s">
        <v>1208</v>
      </c>
      <c r="J106" s="236" t="s">
        <v>134</v>
      </c>
      <c r="K106" s="266"/>
      <c r="L106" s="266"/>
      <c r="M106" s="266"/>
      <c r="N106" s="236" t="s">
        <v>134</v>
      </c>
      <c r="O106" s="236" t="s">
        <v>134</v>
      </c>
      <c r="P106" s="266"/>
      <c r="Q106" s="266"/>
      <c r="R106" s="266"/>
      <c r="S106" s="266"/>
      <c r="T106" s="266"/>
      <c r="U106" s="266"/>
      <c r="V106" s="112" t="s">
        <v>1510</v>
      </c>
      <c r="W106" s="267" t="s">
        <v>1242</v>
      </c>
      <c r="X106" s="266"/>
      <c r="Y106" s="266"/>
      <c r="Z106" s="266"/>
      <c r="AA106" s="266"/>
      <c r="AB106" s="266"/>
      <c r="AC106" s="266"/>
      <c r="AD106" s="268">
        <v>80</v>
      </c>
      <c r="AE106" s="237" t="s">
        <v>1409</v>
      </c>
      <c r="AF106" s="267" t="s">
        <v>1242</v>
      </c>
    </row>
    <row r="107" spans="1:32" s="20" customFormat="1" ht="78.75">
      <c r="A107" s="35"/>
      <c r="B107" s="264" t="str">
        <f>HYPERLINK("#"&amp;ADDRESS(MATCH($W107,'SPEC Details'!$A:$A,0),1,,,"SPEC Details"),$W107)</f>
        <v>I106F_HOE1</v>
      </c>
      <c r="C107" s="265" t="s">
        <v>1527</v>
      </c>
      <c r="D107" s="89" t="s">
        <v>830</v>
      </c>
      <c r="E107" s="265" t="s">
        <v>1424</v>
      </c>
      <c r="F107" s="236" t="s">
        <v>1226</v>
      </c>
      <c r="G107" s="265" t="s">
        <v>1389</v>
      </c>
      <c r="H107" s="236" t="s">
        <v>1207</v>
      </c>
      <c r="I107" s="236" t="s">
        <v>1208</v>
      </c>
      <c r="J107" s="236" t="s">
        <v>134</v>
      </c>
      <c r="K107" s="266"/>
      <c r="L107" s="266"/>
      <c r="M107" s="266"/>
      <c r="N107" s="236" t="s">
        <v>134</v>
      </c>
      <c r="O107" s="236" t="s">
        <v>134</v>
      </c>
      <c r="P107" s="266"/>
      <c r="Q107" s="266"/>
      <c r="R107" s="266"/>
      <c r="S107" s="266"/>
      <c r="T107" s="266"/>
      <c r="U107" s="266"/>
      <c r="V107" s="112" t="s">
        <v>1510</v>
      </c>
      <c r="W107" s="267" t="s">
        <v>1243</v>
      </c>
      <c r="X107" s="266"/>
      <c r="Y107" s="266"/>
      <c r="Z107" s="266"/>
      <c r="AA107" s="266"/>
      <c r="AB107" s="266"/>
      <c r="AC107" s="266"/>
      <c r="AD107" s="268">
        <v>80</v>
      </c>
      <c r="AE107" s="237" t="s">
        <v>1409</v>
      </c>
      <c r="AF107" s="267" t="s">
        <v>1243</v>
      </c>
    </row>
  </sheetData>
  <sheetProtection selectLockedCells="1" selectUnlockedCells="1"/>
  <mergeCells count="13">
    <mergeCell ref="W1:W3"/>
    <mergeCell ref="A1:A3"/>
    <mergeCell ref="F1:F3"/>
    <mergeCell ref="V1:V3"/>
    <mergeCell ref="U1:U3"/>
    <mergeCell ref="B1:B3"/>
    <mergeCell ref="D1:D3"/>
    <mergeCell ref="E1:E3"/>
    <mergeCell ref="C1:C3"/>
    <mergeCell ref="G1:G3"/>
    <mergeCell ref="H1:H3"/>
    <mergeCell ref="I1:I3"/>
    <mergeCell ref="J1:T1"/>
  </mergeCells>
  <phoneticPr fontId="29" type="noConversion"/>
  <pageMargins left="0.7086111307144165" right="0.7086111307144165" top="0.74750000238418579" bottom="0.74750000238418579" header="0.31486111879348755" footer="0.31486111879348755"/>
  <pageSetup paperSize="9" scale="45" fitToHeight="0"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224"/>
  <sheetViews>
    <sheetView zoomScale="120" zoomScaleNormal="120" zoomScaleSheetLayoutView="80" workbookViewId="0">
      <pane xSplit="2" ySplit="1" topLeftCell="C78" activePane="bottomRight" state="frozen"/>
      <selection pane="topRight"/>
      <selection pane="bottomLeft"/>
      <selection pane="bottomRight" activeCell="I97" sqref="I97"/>
    </sheetView>
  </sheetViews>
  <sheetFormatPr defaultColWidth="9" defaultRowHeight="11.25"/>
  <cols>
    <col min="1" max="1" width="9.25" style="19" bestFit="1" customWidth="1"/>
    <col min="2" max="2" width="46.75" style="33" bestFit="1" customWidth="1"/>
    <col min="3" max="3" width="6.25" style="18" bestFit="1" customWidth="1"/>
    <col min="4" max="4" width="29.25" style="32" bestFit="1" customWidth="1"/>
    <col min="5" max="5" width="7.75" style="18" customWidth="1"/>
    <col min="6" max="8" width="7.25" style="17" customWidth="1"/>
    <col min="9" max="9" width="51.5" style="34" customWidth="1"/>
    <col min="10" max="10" width="37.75" style="34" customWidth="1"/>
    <col min="11" max="16384" width="9" style="20"/>
  </cols>
  <sheetData>
    <row r="1" spans="1:10" s="35" customFormat="1" ht="21" customHeight="1">
      <c r="A1" s="173" t="s">
        <v>921</v>
      </c>
      <c r="B1" s="174" t="s">
        <v>781</v>
      </c>
      <c r="C1" s="104" t="s">
        <v>43</v>
      </c>
      <c r="D1" s="175" t="s">
        <v>975</v>
      </c>
      <c r="E1" s="175" t="s">
        <v>385</v>
      </c>
      <c r="F1" s="173" t="s">
        <v>976</v>
      </c>
      <c r="G1" s="106" t="s">
        <v>977</v>
      </c>
      <c r="H1" s="105" t="s">
        <v>608</v>
      </c>
      <c r="I1" s="23" t="s">
        <v>815</v>
      </c>
      <c r="J1" s="23" t="s">
        <v>828</v>
      </c>
    </row>
    <row r="2" spans="1:10">
      <c r="A2" s="22" t="s">
        <v>922</v>
      </c>
      <c r="B2" s="43" t="s">
        <v>357</v>
      </c>
      <c r="C2" s="18">
        <v>1</v>
      </c>
      <c r="D2" s="176" t="s">
        <v>389</v>
      </c>
      <c r="E2" s="25">
        <v>0</v>
      </c>
      <c r="F2" s="120" t="s">
        <v>825</v>
      </c>
      <c r="G2" s="21">
        <v>2</v>
      </c>
      <c r="H2" s="21">
        <v>2</v>
      </c>
      <c r="I2" s="107" t="s">
        <v>42</v>
      </c>
      <c r="J2" s="21"/>
    </row>
    <row r="3" spans="1:10">
      <c r="A3" s="22" t="s">
        <v>633</v>
      </c>
      <c r="B3" s="43" t="s">
        <v>357</v>
      </c>
      <c r="C3" s="18">
        <v>2</v>
      </c>
      <c r="D3" s="176" t="s">
        <v>706</v>
      </c>
      <c r="E3" s="25">
        <v>0</v>
      </c>
      <c r="F3" s="109" t="s">
        <v>825</v>
      </c>
      <c r="G3" s="21">
        <v>3</v>
      </c>
      <c r="H3" s="21">
        <v>5</v>
      </c>
      <c r="I3" s="107" t="s">
        <v>585</v>
      </c>
      <c r="J3" s="21"/>
    </row>
    <row r="4" spans="1:10">
      <c r="A4" s="133" t="s">
        <v>633</v>
      </c>
      <c r="B4" s="134" t="s">
        <v>357</v>
      </c>
      <c r="C4" s="135">
        <v>3</v>
      </c>
      <c r="D4" s="177" t="s">
        <v>340</v>
      </c>
      <c r="E4" s="136">
        <v>0</v>
      </c>
      <c r="F4" s="138" t="s">
        <v>825</v>
      </c>
      <c r="G4" s="137">
        <v>4</v>
      </c>
      <c r="H4" s="137">
        <v>9</v>
      </c>
      <c r="I4" s="139" t="s">
        <v>874</v>
      </c>
      <c r="J4" s="137"/>
    </row>
    <row r="5" spans="1:10">
      <c r="A5" s="133" t="s">
        <v>633</v>
      </c>
      <c r="B5" s="140" t="s">
        <v>357</v>
      </c>
      <c r="C5" s="141">
        <v>4</v>
      </c>
      <c r="D5" s="178" t="s">
        <v>634</v>
      </c>
      <c r="E5" s="142">
        <v>0</v>
      </c>
      <c r="F5" s="144" t="s">
        <v>825</v>
      </c>
      <c r="G5" s="143">
        <v>1</v>
      </c>
      <c r="H5" s="143">
        <v>10</v>
      </c>
      <c r="I5" s="145" t="s">
        <v>544</v>
      </c>
      <c r="J5" s="143"/>
    </row>
    <row r="6" spans="1:10">
      <c r="A6" s="41" t="s">
        <v>862</v>
      </c>
      <c r="B6" s="44" t="s">
        <v>245</v>
      </c>
      <c r="C6" s="42">
        <v>1</v>
      </c>
      <c r="D6" s="111" t="s">
        <v>942</v>
      </c>
      <c r="E6" s="42">
        <v>0</v>
      </c>
      <c r="F6" s="162" t="s">
        <v>825</v>
      </c>
      <c r="G6" s="40">
        <v>2</v>
      </c>
      <c r="H6" s="40">
        <v>2</v>
      </c>
      <c r="I6" s="111" t="s">
        <v>1430</v>
      </c>
      <c r="J6" s="40"/>
    </row>
    <row r="7" spans="1:10">
      <c r="A7" s="22" t="s">
        <v>862</v>
      </c>
      <c r="B7" s="43" t="s">
        <v>245</v>
      </c>
      <c r="C7" s="25">
        <v>2</v>
      </c>
      <c r="D7" s="107" t="s">
        <v>929</v>
      </c>
      <c r="E7" s="25">
        <v>0</v>
      </c>
      <c r="F7" s="160" t="s">
        <v>825</v>
      </c>
      <c r="G7" s="21">
        <v>3</v>
      </c>
      <c r="H7" s="21">
        <f t="shared" ref="H7:H17" si="0">H6+G7</f>
        <v>5</v>
      </c>
      <c r="I7" s="107" t="s">
        <v>1103</v>
      </c>
      <c r="J7" s="21"/>
    </row>
    <row r="8" spans="1:10">
      <c r="A8" s="22" t="s">
        <v>862</v>
      </c>
      <c r="B8" s="43" t="s">
        <v>245</v>
      </c>
      <c r="C8" s="18">
        <v>3</v>
      </c>
      <c r="D8" s="111" t="s">
        <v>943</v>
      </c>
      <c r="E8" s="25">
        <v>0</v>
      </c>
      <c r="F8" s="160" t="s">
        <v>825</v>
      </c>
      <c r="G8" s="21">
        <v>12</v>
      </c>
      <c r="H8" s="21">
        <f t="shared" si="0"/>
        <v>17</v>
      </c>
      <c r="I8" s="111" t="s">
        <v>1431</v>
      </c>
      <c r="J8" s="21"/>
    </row>
    <row r="9" spans="1:10">
      <c r="A9" s="22" t="s">
        <v>862</v>
      </c>
      <c r="B9" s="43" t="s">
        <v>245</v>
      </c>
      <c r="C9" s="18">
        <v>4</v>
      </c>
      <c r="D9" s="107" t="s">
        <v>609</v>
      </c>
      <c r="E9" s="25">
        <v>0</v>
      </c>
      <c r="F9" s="109" t="s">
        <v>806</v>
      </c>
      <c r="G9" s="21">
        <v>8</v>
      </c>
      <c r="H9" s="21">
        <f t="shared" si="0"/>
        <v>25</v>
      </c>
      <c r="I9" s="107" t="s">
        <v>700</v>
      </c>
      <c r="J9" s="21"/>
    </row>
    <row r="10" spans="1:10">
      <c r="A10" s="22" t="s">
        <v>862</v>
      </c>
      <c r="B10" s="43" t="s">
        <v>245</v>
      </c>
      <c r="C10" s="18">
        <v>5</v>
      </c>
      <c r="D10" s="107" t="s">
        <v>393</v>
      </c>
      <c r="E10" s="25">
        <v>0</v>
      </c>
      <c r="F10" s="109" t="s">
        <v>825</v>
      </c>
      <c r="G10" s="21">
        <v>8</v>
      </c>
      <c r="H10" s="21">
        <f t="shared" si="0"/>
        <v>33</v>
      </c>
      <c r="I10" s="107" t="s">
        <v>353</v>
      </c>
      <c r="J10" s="21"/>
    </row>
    <row r="11" spans="1:10">
      <c r="A11" s="22" t="s">
        <v>862</v>
      </c>
      <c r="B11" s="43" t="s">
        <v>245</v>
      </c>
      <c r="C11" s="18">
        <v>6</v>
      </c>
      <c r="D11" s="107" t="s">
        <v>564</v>
      </c>
      <c r="E11" s="25">
        <v>4</v>
      </c>
      <c r="F11" s="109" t="s">
        <v>824</v>
      </c>
      <c r="G11" s="21">
        <v>5</v>
      </c>
      <c r="H11" s="21">
        <f t="shared" si="0"/>
        <v>38</v>
      </c>
      <c r="I11" s="107" t="s">
        <v>325</v>
      </c>
      <c r="J11" s="21"/>
    </row>
    <row r="12" spans="1:10">
      <c r="A12" s="22" t="s">
        <v>862</v>
      </c>
      <c r="B12" s="43" t="s">
        <v>245</v>
      </c>
      <c r="C12" s="18">
        <v>7</v>
      </c>
      <c r="D12" s="107" t="s">
        <v>710</v>
      </c>
      <c r="E12" s="25">
        <v>4</v>
      </c>
      <c r="F12" s="109" t="s">
        <v>824</v>
      </c>
      <c r="G12" s="21">
        <v>5</v>
      </c>
      <c r="H12" s="21">
        <f t="shared" si="0"/>
        <v>43</v>
      </c>
      <c r="I12" s="107" t="s">
        <v>325</v>
      </c>
      <c r="J12" s="21"/>
    </row>
    <row r="13" spans="1:10">
      <c r="A13" s="22" t="s">
        <v>862</v>
      </c>
      <c r="B13" s="43" t="s">
        <v>245</v>
      </c>
      <c r="C13" s="18">
        <v>8</v>
      </c>
      <c r="D13" s="107" t="s">
        <v>703</v>
      </c>
      <c r="E13" s="25">
        <v>0</v>
      </c>
      <c r="F13" s="109" t="s">
        <v>806</v>
      </c>
      <c r="G13" s="21">
        <v>15</v>
      </c>
      <c r="H13" s="21">
        <f t="shared" si="0"/>
        <v>58</v>
      </c>
      <c r="I13" s="107" t="s">
        <v>654</v>
      </c>
      <c r="J13" s="21"/>
    </row>
    <row r="14" spans="1:10">
      <c r="A14" s="22" t="s">
        <v>862</v>
      </c>
      <c r="B14" s="43" t="s">
        <v>245</v>
      </c>
      <c r="C14" s="18">
        <v>9</v>
      </c>
      <c r="D14" s="107" t="s">
        <v>453</v>
      </c>
      <c r="E14" s="25">
        <v>0</v>
      </c>
      <c r="F14" s="109" t="s">
        <v>806</v>
      </c>
      <c r="G14" s="21">
        <v>15</v>
      </c>
      <c r="H14" s="21">
        <f t="shared" si="0"/>
        <v>73</v>
      </c>
      <c r="I14" s="107" t="s">
        <v>654</v>
      </c>
      <c r="J14" s="21"/>
    </row>
    <row r="15" spans="1:10" ht="22.5">
      <c r="A15" s="22" t="s">
        <v>862</v>
      </c>
      <c r="B15" s="43" t="s">
        <v>245</v>
      </c>
      <c r="C15" s="18">
        <v>10</v>
      </c>
      <c r="D15" s="107" t="s">
        <v>716</v>
      </c>
      <c r="E15" s="25">
        <v>0</v>
      </c>
      <c r="F15" s="109" t="s">
        <v>825</v>
      </c>
      <c r="G15" s="21">
        <v>1</v>
      </c>
      <c r="H15" s="21">
        <f t="shared" si="0"/>
        <v>74</v>
      </c>
      <c r="I15" s="107" t="s">
        <v>6</v>
      </c>
      <c r="J15" s="21"/>
    </row>
    <row r="16" spans="1:10">
      <c r="A16" s="22" t="s">
        <v>862</v>
      </c>
      <c r="B16" s="43" t="s">
        <v>245</v>
      </c>
      <c r="C16" s="18">
        <v>11</v>
      </c>
      <c r="D16" s="107" t="s">
        <v>881</v>
      </c>
      <c r="E16" s="25">
        <v>0</v>
      </c>
      <c r="F16" s="109" t="s">
        <v>825</v>
      </c>
      <c r="G16" s="21">
        <v>5</v>
      </c>
      <c r="H16" s="21">
        <f t="shared" si="0"/>
        <v>79</v>
      </c>
      <c r="I16" s="107" t="s">
        <v>787</v>
      </c>
      <c r="J16" s="21"/>
    </row>
    <row r="17" spans="1:10">
      <c r="A17" s="22" t="s">
        <v>862</v>
      </c>
      <c r="B17" s="45" t="s">
        <v>245</v>
      </c>
      <c r="C17" s="146">
        <v>12</v>
      </c>
      <c r="D17" s="147" t="s">
        <v>39</v>
      </c>
      <c r="E17" s="148">
        <v>0</v>
      </c>
      <c r="F17" s="144" t="s">
        <v>825</v>
      </c>
      <c r="G17" s="149">
        <v>1</v>
      </c>
      <c r="H17" s="114">
        <f t="shared" si="0"/>
        <v>80</v>
      </c>
      <c r="I17" s="108" t="s">
        <v>544</v>
      </c>
      <c r="J17" s="114"/>
    </row>
    <row r="18" spans="1:10">
      <c r="A18" s="41" t="s">
        <v>923</v>
      </c>
      <c r="B18" s="44" t="s">
        <v>165</v>
      </c>
      <c r="C18" s="42">
        <v>1</v>
      </c>
      <c r="D18" s="111" t="s">
        <v>942</v>
      </c>
      <c r="E18" s="42">
        <v>0</v>
      </c>
      <c r="F18" s="120" t="s">
        <v>825</v>
      </c>
      <c r="G18" s="40">
        <v>2</v>
      </c>
      <c r="H18" s="40">
        <v>2</v>
      </c>
      <c r="I18" s="111" t="s">
        <v>60</v>
      </c>
      <c r="J18" s="40"/>
    </row>
    <row r="19" spans="1:10">
      <c r="A19" s="22" t="s">
        <v>854</v>
      </c>
      <c r="B19" s="43" t="s">
        <v>165</v>
      </c>
      <c r="C19" s="25">
        <v>2</v>
      </c>
      <c r="D19" s="107" t="s">
        <v>929</v>
      </c>
      <c r="E19" s="25">
        <v>0</v>
      </c>
      <c r="F19" s="160" t="s">
        <v>825</v>
      </c>
      <c r="G19" s="21">
        <v>3</v>
      </c>
      <c r="H19" s="21">
        <f t="shared" ref="H19:H24" si="1">H18+G19</f>
        <v>5</v>
      </c>
      <c r="I19" s="107" t="s">
        <v>1103</v>
      </c>
      <c r="J19" s="21"/>
    </row>
    <row r="20" spans="1:10">
      <c r="A20" s="41" t="s">
        <v>854</v>
      </c>
      <c r="B20" s="43" t="s">
        <v>165</v>
      </c>
      <c r="C20" s="18">
        <v>3</v>
      </c>
      <c r="D20" s="111" t="s">
        <v>943</v>
      </c>
      <c r="E20" s="25">
        <v>0</v>
      </c>
      <c r="F20" s="160" t="s">
        <v>825</v>
      </c>
      <c r="G20" s="21">
        <v>12</v>
      </c>
      <c r="H20" s="21">
        <f t="shared" si="1"/>
        <v>17</v>
      </c>
      <c r="I20" s="111" t="s">
        <v>1431</v>
      </c>
      <c r="J20" s="40"/>
    </row>
    <row r="21" spans="1:10">
      <c r="A21" s="41" t="s">
        <v>854</v>
      </c>
      <c r="B21" s="43" t="s">
        <v>165</v>
      </c>
      <c r="C21" s="18">
        <v>4</v>
      </c>
      <c r="D21" s="107" t="s">
        <v>890</v>
      </c>
      <c r="E21" s="42">
        <v>0</v>
      </c>
      <c r="F21" s="109" t="s">
        <v>806</v>
      </c>
      <c r="G21" s="40">
        <v>15</v>
      </c>
      <c r="H21" s="40">
        <f t="shared" si="1"/>
        <v>32</v>
      </c>
      <c r="I21" s="111" t="s">
        <v>337</v>
      </c>
      <c r="J21" s="40"/>
    </row>
    <row r="22" spans="1:10" ht="22.5">
      <c r="A22" s="41" t="s">
        <v>854</v>
      </c>
      <c r="B22" s="43" t="s">
        <v>165</v>
      </c>
      <c r="C22" s="18">
        <v>5</v>
      </c>
      <c r="D22" s="107" t="s">
        <v>621</v>
      </c>
      <c r="E22" s="42">
        <v>0</v>
      </c>
      <c r="F22" s="109" t="s">
        <v>825</v>
      </c>
      <c r="G22" s="40">
        <v>2</v>
      </c>
      <c r="H22" s="40">
        <f t="shared" si="1"/>
        <v>34</v>
      </c>
      <c r="I22" s="111" t="s">
        <v>197</v>
      </c>
      <c r="J22" s="40"/>
    </row>
    <row r="23" spans="1:10">
      <c r="A23" s="41" t="s">
        <v>854</v>
      </c>
      <c r="B23" s="43" t="s">
        <v>165</v>
      </c>
      <c r="C23" s="18">
        <v>6</v>
      </c>
      <c r="D23" s="107" t="s">
        <v>881</v>
      </c>
      <c r="E23" s="150">
        <v>0</v>
      </c>
      <c r="F23" s="138" t="s">
        <v>825</v>
      </c>
      <c r="G23" s="151">
        <v>5</v>
      </c>
      <c r="H23" s="151">
        <f t="shared" si="1"/>
        <v>39</v>
      </c>
      <c r="I23" s="152" t="s">
        <v>787</v>
      </c>
      <c r="J23" s="40"/>
    </row>
    <row r="24" spans="1:10">
      <c r="A24" s="41" t="s">
        <v>854</v>
      </c>
      <c r="B24" s="45" t="s">
        <v>165</v>
      </c>
      <c r="C24" s="38">
        <v>7</v>
      </c>
      <c r="D24" s="108" t="s">
        <v>39</v>
      </c>
      <c r="E24" s="153">
        <v>0</v>
      </c>
      <c r="F24" s="144" t="s">
        <v>825</v>
      </c>
      <c r="G24" s="149">
        <v>1</v>
      </c>
      <c r="H24" s="154">
        <f t="shared" si="1"/>
        <v>40</v>
      </c>
      <c r="I24" s="155" t="s">
        <v>591</v>
      </c>
      <c r="J24" s="114"/>
    </row>
    <row r="25" spans="1:10">
      <c r="A25" s="41" t="s">
        <v>842</v>
      </c>
      <c r="B25" s="44" t="s">
        <v>200</v>
      </c>
      <c r="C25" s="42">
        <v>1</v>
      </c>
      <c r="D25" s="110" t="s">
        <v>942</v>
      </c>
      <c r="E25" s="42">
        <v>0</v>
      </c>
      <c r="F25" s="120" t="s">
        <v>825</v>
      </c>
      <c r="G25" s="40">
        <v>2</v>
      </c>
      <c r="H25" s="40">
        <v>2</v>
      </c>
      <c r="I25" s="111" t="s">
        <v>47</v>
      </c>
      <c r="J25" s="40"/>
    </row>
    <row r="26" spans="1:10">
      <c r="A26" s="22" t="s">
        <v>842</v>
      </c>
      <c r="B26" s="43" t="s">
        <v>200</v>
      </c>
      <c r="C26" s="25">
        <v>2</v>
      </c>
      <c r="D26" s="107" t="s">
        <v>706</v>
      </c>
      <c r="E26" s="25">
        <v>0</v>
      </c>
      <c r="F26" s="160" t="s">
        <v>825</v>
      </c>
      <c r="G26" s="21">
        <v>3</v>
      </c>
      <c r="H26" s="21">
        <f t="shared" ref="H26:H34" si="2">H25+G26</f>
        <v>5</v>
      </c>
      <c r="I26" s="107" t="s">
        <v>1103</v>
      </c>
      <c r="J26" s="21"/>
    </row>
    <row r="27" spans="1:10">
      <c r="A27" s="22" t="s">
        <v>842</v>
      </c>
      <c r="B27" s="44" t="s">
        <v>200</v>
      </c>
      <c r="C27" s="18">
        <v>3</v>
      </c>
      <c r="D27" s="159" t="s">
        <v>943</v>
      </c>
      <c r="E27" s="40">
        <v>0</v>
      </c>
      <c r="F27" s="160" t="s">
        <v>825</v>
      </c>
      <c r="G27" s="40">
        <v>12</v>
      </c>
      <c r="H27" s="21">
        <f t="shared" si="2"/>
        <v>17</v>
      </c>
      <c r="I27" s="107" t="s">
        <v>1431</v>
      </c>
      <c r="J27" s="21"/>
    </row>
    <row r="28" spans="1:10" ht="22.5">
      <c r="A28" s="41" t="s">
        <v>842</v>
      </c>
      <c r="B28" s="44" t="s">
        <v>200</v>
      </c>
      <c r="C28" s="18">
        <v>4</v>
      </c>
      <c r="D28" s="111" t="s">
        <v>621</v>
      </c>
      <c r="E28" s="42">
        <v>0</v>
      </c>
      <c r="F28" s="109" t="s">
        <v>825</v>
      </c>
      <c r="G28" s="40">
        <v>2</v>
      </c>
      <c r="H28" s="40">
        <f t="shared" si="2"/>
        <v>19</v>
      </c>
      <c r="I28" s="111" t="s">
        <v>230</v>
      </c>
      <c r="J28" s="40"/>
    </row>
    <row r="29" spans="1:10">
      <c r="A29" s="41" t="s">
        <v>842</v>
      </c>
      <c r="B29" s="44" t="s">
        <v>200</v>
      </c>
      <c r="C29" s="18">
        <v>5</v>
      </c>
      <c r="D29" s="111" t="s">
        <v>368</v>
      </c>
      <c r="E29" s="42">
        <v>0</v>
      </c>
      <c r="F29" s="109" t="s">
        <v>825</v>
      </c>
      <c r="G29" s="40">
        <v>1</v>
      </c>
      <c r="H29" s="40">
        <f t="shared" si="2"/>
        <v>20</v>
      </c>
      <c r="I29" s="111" t="s">
        <v>885</v>
      </c>
      <c r="J29" s="40"/>
    </row>
    <row r="30" spans="1:10">
      <c r="A30" s="41" t="s">
        <v>842</v>
      </c>
      <c r="B30" s="44" t="s">
        <v>200</v>
      </c>
      <c r="C30" s="18">
        <v>6</v>
      </c>
      <c r="D30" s="111" t="s">
        <v>709</v>
      </c>
      <c r="E30" s="42">
        <v>0</v>
      </c>
      <c r="F30" s="109" t="s">
        <v>825</v>
      </c>
      <c r="G30" s="40">
        <v>8</v>
      </c>
      <c r="H30" s="40">
        <f t="shared" si="2"/>
        <v>28</v>
      </c>
      <c r="I30" s="111" t="s">
        <v>353</v>
      </c>
      <c r="J30" s="40"/>
    </row>
    <row r="31" spans="1:10">
      <c r="A31" s="41" t="s">
        <v>842</v>
      </c>
      <c r="B31" s="44" t="s">
        <v>200</v>
      </c>
      <c r="C31" s="18">
        <v>7</v>
      </c>
      <c r="D31" s="111" t="s">
        <v>281</v>
      </c>
      <c r="E31" s="42">
        <v>0</v>
      </c>
      <c r="F31" s="109" t="s">
        <v>825</v>
      </c>
      <c r="G31" s="40">
        <v>4</v>
      </c>
      <c r="H31" s="40">
        <f t="shared" si="2"/>
        <v>32</v>
      </c>
      <c r="I31" s="111" t="s">
        <v>874</v>
      </c>
      <c r="J31" s="40"/>
    </row>
    <row r="32" spans="1:10">
      <c r="A32" s="41" t="s">
        <v>842</v>
      </c>
      <c r="B32" s="44" t="s">
        <v>200</v>
      </c>
      <c r="C32" s="18">
        <v>8</v>
      </c>
      <c r="D32" s="111" t="s">
        <v>452</v>
      </c>
      <c r="E32" s="42">
        <v>0</v>
      </c>
      <c r="F32" s="109" t="s">
        <v>825</v>
      </c>
      <c r="G32" s="40">
        <v>4</v>
      </c>
      <c r="H32" s="40">
        <f t="shared" si="2"/>
        <v>36</v>
      </c>
      <c r="I32" s="111" t="s">
        <v>874</v>
      </c>
      <c r="J32" s="40"/>
    </row>
    <row r="33" spans="1:10">
      <c r="A33" s="41" t="s">
        <v>842</v>
      </c>
      <c r="B33" s="44" t="s">
        <v>200</v>
      </c>
      <c r="C33" s="18">
        <v>9</v>
      </c>
      <c r="D33" s="111" t="s">
        <v>881</v>
      </c>
      <c r="E33" s="42">
        <v>0</v>
      </c>
      <c r="F33" s="109" t="s">
        <v>825</v>
      </c>
      <c r="G33" s="40">
        <v>3</v>
      </c>
      <c r="H33" s="40">
        <f t="shared" si="2"/>
        <v>39</v>
      </c>
      <c r="I33" s="111" t="s">
        <v>787</v>
      </c>
      <c r="J33" s="40"/>
    </row>
    <row r="34" spans="1:10">
      <c r="A34" s="41" t="s">
        <v>842</v>
      </c>
      <c r="B34" s="47" t="s">
        <v>200</v>
      </c>
      <c r="C34" s="38">
        <v>10</v>
      </c>
      <c r="D34" s="112" t="s">
        <v>39</v>
      </c>
      <c r="E34" s="39">
        <v>0</v>
      </c>
      <c r="F34" s="144" t="s">
        <v>825</v>
      </c>
      <c r="G34" s="115">
        <v>1</v>
      </c>
      <c r="H34" s="115">
        <f t="shared" si="2"/>
        <v>40</v>
      </c>
      <c r="I34" s="112" t="s">
        <v>587</v>
      </c>
      <c r="J34" s="114"/>
    </row>
    <row r="35" spans="1:10">
      <c r="A35" s="41" t="s">
        <v>867</v>
      </c>
      <c r="B35" s="44" t="s">
        <v>167</v>
      </c>
      <c r="C35" s="42">
        <v>1</v>
      </c>
      <c r="D35" s="110" t="s">
        <v>392</v>
      </c>
      <c r="E35" s="42">
        <v>0</v>
      </c>
      <c r="F35" s="120" t="s">
        <v>825</v>
      </c>
      <c r="G35" s="40">
        <v>2</v>
      </c>
      <c r="H35" s="40">
        <v>2</v>
      </c>
      <c r="I35" s="111" t="s">
        <v>80</v>
      </c>
      <c r="J35" s="40"/>
    </row>
    <row r="36" spans="1:10">
      <c r="A36" s="22" t="s">
        <v>867</v>
      </c>
      <c r="B36" s="43" t="s">
        <v>167</v>
      </c>
      <c r="C36" s="25">
        <v>2</v>
      </c>
      <c r="D36" s="107" t="s">
        <v>706</v>
      </c>
      <c r="E36" s="25">
        <v>0</v>
      </c>
      <c r="F36" s="160" t="s">
        <v>825</v>
      </c>
      <c r="G36" s="21">
        <v>3</v>
      </c>
      <c r="H36" s="21">
        <f t="shared" ref="H36:H44" si="3">H35+G36</f>
        <v>5</v>
      </c>
      <c r="I36" s="107" t="s">
        <v>1103</v>
      </c>
      <c r="J36" s="40"/>
    </row>
    <row r="37" spans="1:10">
      <c r="A37" s="22" t="s">
        <v>867</v>
      </c>
      <c r="B37" s="44" t="s">
        <v>167</v>
      </c>
      <c r="C37" s="164">
        <v>3</v>
      </c>
      <c r="D37" s="159" t="s">
        <v>943</v>
      </c>
      <c r="E37" s="40">
        <v>0</v>
      </c>
      <c r="F37" s="160" t="s">
        <v>825</v>
      </c>
      <c r="G37" s="40">
        <v>12</v>
      </c>
      <c r="H37" s="21">
        <f t="shared" si="3"/>
        <v>17</v>
      </c>
      <c r="I37" s="107" t="s">
        <v>1431</v>
      </c>
      <c r="J37" s="40"/>
    </row>
    <row r="38" spans="1:10">
      <c r="A38" s="41" t="s">
        <v>867</v>
      </c>
      <c r="B38" s="44" t="s">
        <v>167</v>
      </c>
      <c r="C38" s="135">
        <v>4</v>
      </c>
      <c r="D38" s="111" t="s">
        <v>564</v>
      </c>
      <c r="E38" s="42">
        <v>4</v>
      </c>
      <c r="F38" s="109" t="s">
        <v>824</v>
      </c>
      <c r="G38" s="40">
        <v>5</v>
      </c>
      <c r="H38" s="75">
        <f t="shared" si="3"/>
        <v>22</v>
      </c>
      <c r="I38" s="111" t="s">
        <v>162</v>
      </c>
      <c r="J38" s="40"/>
    </row>
    <row r="39" spans="1:10">
      <c r="A39" s="41" t="s">
        <v>867</v>
      </c>
      <c r="B39" s="44" t="s">
        <v>167</v>
      </c>
      <c r="C39" s="135">
        <v>5</v>
      </c>
      <c r="D39" s="111" t="s">
        <v>710</v>
      </c>
      <c r="E39" s="42">
        <v>4</v>
      </c>
      <c r="F39" s="109" t="s">
        <v>824</v>
      </c>
      <c r="G39" s="40">
        <v>5</v>
      </c>
      <c r="H39" s="75">
        <f t="shared" si="3"/>
        <v>27</v>
      </c>
      <c r="I39" s="111" t="s">
        <v>162</v>
      </c>
      <c r="J39" s="40"/>
    </row>
    <row r="40" spans="1:10">
      <c r="A40" s="41" t="s">
        <v>867</v>
      </c>
      <c r="B40" s="44" t="s">
        <v>167</v>
      </c>
      <c r="C40" s="135">
        <v>6</v>
      </c>
      <c r="D40" s="111" t="s">
        <v>703</v>
      </c>
      <c r="E40" s="42">
        <v>0</v>
      </c>
      <c r="F40" s="109" t="s">
        <v>806</v>
      </c>
      <c r="G40" s="40">
        <v>15</v>
      </c>
      <c r="H40" s="75">
        <f t="shared" si="3"/>
        <v>42</v>
      </c>
      <c r="I40" s="111" t="s">
        <v>654</v>
      </c>
      <c r="J40" s="40"/>
    </row>
    <row r="41" spans="1:10">
      <c r="A41" s="41" t="s">
        <v>867</v>
      </c>
      <c r="B41" s="44" t="s">
        <v>167</v>
      </c>
      <c r="C41" s="135">
        <v>7</v>
      </c>
      <c r="D41" s="111" t="s">
        <v>453</v>
      </c>
      <c r="E41" s="42">
        <v>0</v>
      </c>
      <c r="F41" s="109" t="s">
        <v>806</v>
      </c>
      <c r="G41" s="40">
        <v>15</v>
      </c>
      <c r="H41" s="75">
        <f t="shared" si="3"/>
        <v>57</v>
      </c>
      <c r="I41" s="111" t="s">
        <v>654</v>
      </c>
      <c r="J41" s="40"/>
    </row>
    <row r="42" spans="1:10">
      <c r="A42" s="41" t="s">
        <v>867</v>
      </c>
      <c r="B42" s="44" t="s">
        <v>167</v>
      </c>
      <c r="C42" s="135">
        <v>8</v>
      </c>
      <c r="D42" s="111" t="s">
        <v>716</v>
      </c>
      <c r="E42" s="42">
        <v>0</v>
      </c>
      <c r="F42" s="109" t="s">
        <v>825</v>
      </c>
      <c r="G42" s="40">
        <v>1</v>
      </c>
      <c r="H42" s="75">
        <f t="shared" si="3"/>
        <v>58</v>
      </c>
      <c r="I42" s="111" t="s">
        <v>207</v>
      </c>
      <c r="J42" s="40"/>
    </row>
    <row r="43" spans="1:10">
      <c r="A43" s="41" t="s">
        <v>867</v>
      </c>
      <c r="B43" s="44" t="s">
        <v>167</v>
      </c>
      <c r="C43" s="135">
        <v>9</v>
      </c>
      <c r="D43" s="111" t="s">
        <v>881</v>
      </c>
      <c r="E43" s="42">
        <v>0</v>
      </c>
      <c r="F43" s="109" t="s">
        <v>825</v>
      </c>
      <c r="G43" s="40">
        <v>1</v>
      </c>
      <c r="H43" s="75">
        <f t="shared" si="3"/>
        <v>59</v>
      </c>
      <c r="I43" s="111" t="s">
        <v>787</v>
      </c>
      <c r="J43" s="40"/>
    </row>
    <row r="44" spans="1:10">
      <c r="A44" s="41" t="s">
        <v>867</v>
      </c>
      <c r="B44" s="47" t="s">
        <v>167</v>
      </c>
      <c r="C44" s="146">
        <v>10</v>
      </c>
      <c r="D44" s="112" t="s">
        <v>39</v>
      </c>
      <c r="E44" s="39">
        <v>0</v>
      </c>
      <c r="F44" s="144" t="s">
        <v>825</v>
      </c>
      <c r="G44" s="114">
        <v>1</v>
      </c>
      <c r="H44" s="76">
        <f t="shared" si="3"/>
        <v>60</v>
      </c>
      <c r="I44" s="112" t="s">
        <v>574</v>
      </c>
      <c r="J44" s="114"/>
    </row>
    <row r="45" spans="1:10">
      <c r="A45" s="41" t="s">
        <v>835</v>
      </c>
      <c r="B45" s="44" t="s">
        <v>196</v>
      </c>
      <c r="C45" s="42">
        <v>1</v>
      </c>
      <c r="D45" s="110" t="s">
        <v>392</v>
      </c>
      <c r="E45" s="42">
        <v>0</v>
      </c>
      <c r="F45" s="120" t="s">
        <v>825</v>
      </c>
      <c r="G45" s="40">
        <v>2</v>
      </c>
      <c r="H45" s="40">
        <v>2</v>
      </c>
      <c r="I45" s="111" t="s">
        <v>81</v>
      </c>
      <c r="J45" s="40"/>
    </row>
    <row r="46" spans="1:10">
      <c r="A46" s="22" t="s">
        <v>835</v>
      </c>
      <c r="B46" s="43" t="s">
        <v>196</v>
      </c>
      <c r="C46" s="25">
        <v>2</v>
      </c>
      <c r="D46" s="107" t="s">
        <v>706</v>
      </c>
      <c r="E46" s="25">
        <v>0</v>
      </c>
      <c r="F46" s="160" t="s">
        <v>825</v>
      </c>
      <c r="G46" s="21">
        <v>3</v>
      </c>
      <c r="H46" s="21">
        <f t="shared" ref="H46:H53" si="4">H45+G46</f>
        <v>5</v>
      </c>
      <c r="I46" s="107" t="s">
        <v>1103</v>
      </c>
      <c r="J46" s="40"/>
    </row>
    <row r="47" spans="1:10">
      <c r="A47" s="22" t="s">
        <v>835</v>
      </c>
      <c r="B47" s="44" t="s">
        <v>196</v>
      </c>
      <c r="C47" s="164">
        <v>3</v>
      </c>
      <c r="D47" s="159" t="s">
        <v>943</v>
      </c>
      <c r="E47" s="40">
        <v>0</v>
      </c>
      <c r="F47" s="160" t="s">
        <v>825</v>
      </c>
      <c r="G47" s="40">
        <v>12</v>
      </c>
      <c r="H47" s="21">
        <f t="shared" si="4"/>
        <v>17</v>
      </c>
      <c r="I47" s="107" t="s">
        <v>1431</v>
      </c>
      <c r="J47" s="40"/>
    </row>
    <row r="48" spans="1:10">
      <c r="A48" s="41" t="s">
        <v>835</v>
      </c>
      <c r="B48" s="44" t="s">
        <v>196</v>
      </c>
      <c r="C48" s="135">
        <v>4</v>
      </c>
      <c r="D48" s="111" t="s">
        <v>822</v>
      </c>
      <c r="E48" s="42">
        <v>0</v>
      </c>
      <c r="F48" s="109" t="s">
        <v>825</v>
      </c>
      <c r="G48" s="40">
        <v>1</v>
      </c>
      <c r="H48" s="40">
        <f t="shared" si="4"/>
        <v>18</v>
      </c>
      <c r="I48" s="111" t="s">
        <v>217</v>
      </c>
      <c r="J48" s="40"/>
    </row>
    <row r="49" spans="1:10">
      <c r="A49" s="41" t="s">
        <v>835</v>
      </c>
      <c r="B49" s="44" t="s">
        <v>196</v>
      </c>
      <c r="C49" s="164">
        <v>5</v>
      </c>
      <c r="D49" s="111" t="s">
        <v>623</v>
      </c>
      <c r="E49" s="42">
        <v>0</v>
      </c>
      <c r="F49" s="109" t="s">
        <v>806</v>
      </c>
      <c r="G49" s="40">
        <v>9</v>
      </c>
      <c r="H49" s="40">
        <f t="shared" si="4"/>
        <v>27</v>
      </c>
      <c r="I49" s="111" t="s">
        <v>625</v>
      </c>
      <c r="J49" s="40"/>
    </row>
    <row r="50" spans="1:10">
      <c r="A50" s="41" t="s">
        <v>835</v>
      </c>
      <c r="B50" s="44" t="s">
        <v>196</v>
      </c>
      <c r="C50" s="135">
        <v>6</v>
      </c>
      <c r="D50" s="111" t="s">
        <v>812</v>
      </c>
      <c r="E50" s="42">
        <v>0</v>
      </c>
      <c r="F50" s="109" t="s">
        <v>806</v>
      </c>
      <c r="G50" s="40">
        <v>7</v>
      </c>
      <c r="H50" s="40">
        <f t="shared" si="4"/>
        <v>34</v>
      </c>
      <c r="I50" s="111" t="s">
        <v>622</v>
      </c>
      <c r="J50" s="40"/>
    </row>
    <row r="51" spans="1:10">
      <c r="A51" s="41" t="s">
        <v>835</v>
      </c>
      <c r="B51" s="44" t="s">
        <v>196</v>
      </c>
      <c r="C51" s="164">
        <v>7</v>
      </c>
      <c r="D51" s="111" t="s">
        <v>379</v>
      </c>
      <c r="E51" s="42">
        <v>0</v>
      </c>
      <c r="F51" s="109" t="s">
        <v>825</v>
      </c>
      <c r="G51" s="40">
        <v>8</v>
      </c>
      <c r="H51" s="40">
        <f t="shared" si="4"/>
        <v>42</v>
      </c>
      <c r="I51" s="111" t="s">
        <v>637</v>
      </c>
      <c r="J51" s="40"/>
    </row>
    <row r="52" spans="1:10">
      <c r="A52" s="41" t="s">
        <v>835</v>
      </c>
      <c r="B52" s="44" t="s">
        <v>196</v>
      </c>
      <c r="C52" s="135">
        <v>8</v>
      </c>
      <c r="D52" s="111" t="s">
        <v>881</v>
      </c>
      <c r="E52" s="42">
        <v>0</v>
      </c>
      <c r="F52" s="109" t="s">
        <v>825</v>
      </c>
      <c r="G52" s="40">
        <v>7</v>
      </c>
      <c r="H52" s="40">
        <f t="shared" si="4"/>
        <v>49</v>
      </c>
      <c r="I52" s="111" t="s">
        <v>787</v>
      </c>
      <c r="J52" s="40"/>
    </row>
    <row r="53" spans="1:10">
      <c r="A53" s="41" t="s">
        <v>835</v>
      </c>
      <c r="B53" s="47" t="s">
        <v>196</v>
      </c>
      <c r="C53" s="165">
        <v>9</v>
      </c>
      <c r="D53" s="112" t="s">
        <v>39</v>
      </c>
      <c r="E53" s="39">
        <v>0</v>
      </c>
      <c r="F53" s="144" t="s">
        <v>825</v>
      </c>
      <c r="G53" s="115">
        <v>1</v>
      </c>
      <c r="H53" s="115">
        <f t="shared" si="4"/>
        <v>50</v>
      </c>
      <c r="I53" s="112" t="s">
        <v>578</v>
      </c>
      <c r="J53" s="114"/>
    </row>
    <row r="54" spans="1:10">
      <c r="A54" s="41" t="s">
        <v>853</v>
      </c>
      <c r="B54" s="44" t="s">
        <v>169</v>
      </c>
      <c r="C54" s="42">
        <v>1</v>
      </c>
      <c r="D54" s="110" t="s">
        <v>392</v>
      </c>
      <c r="E54" s="40">
        <v>0</v>
      </c>
      <c r="F54" s="120" t="s">
        <v>825</v>
      </c>
      <c r="G54" s="40">
        <v>2</v>
      </c>
      <c r="H54" s="40">
        <v>2</v>
      </c>
      <c r="I54" s="111" t="s">
        <v>56</v>
      </c>
      <c r="J54" s="40"/>
    </row>
    <row r="55" spans="1:10">
      <c r="A55" s="41" t="s">
        <v>853</v>
      </c>
      <c r="B55" s="44" t="s">
        <v>169</v>
      </c>
      <c r="C55" s="25">
        <v>2</v>
      </c>
      <c r="D55" s="111" t="s">
        <v>706</v>
      </c>
      <c r="E55" s="40">
        <v>0</v>
      </c>
      <c r="F55" s="160" t="s">
        <v>825</v>
      </c>
      <c r="G55" s="40">
        <v>3</v>
      </c>
      <c r="H55" s="40">
        <f t="shared" ref="H55:H67" si="5">H54+G55</f>
        <v>5</v>
      </c>
      <c r="I55" s="107" t="s">
        <v>980</v>
      </c>
      <c r="J55" s="50"/>
    </row>
    <row r="56" spans="1:10">
      <c r="A56" s="41" t="s">
        <v>853</v>
      </c>
      <c r="B56" s="44" t="s">
        <v>169</v>
      </c>
      <c r="C56" s="164">
        <v>3</v>
      </c>
      <c r="D56" s="111" t="s">
        <v>609</v>
      </c>
      <c r="E56" s="40">
        <v>0</v>
      </c>
      <c r="F56" s="109" t="s">
        <v>825</v>
      </c>
      <c r="G56" s="40">
        <v>8</v>
      </c>
      <c r="H56" s="40">
        <f t="shared" si="5"/>
        <v>13</v>
      </c>
      <c r="I56" s="111" t="s">
        <v>700</v>
      </c>
      <c r="J56" s="50"/>
    </row>
    <row r="57" spans="1:10" ht="67.5">
      <c r="A57" s="41" t="s">
        <v>853</v>
      </c>
      <c r="B57" s="44" t="s">
        <v>169</v>
      </c>
      <c r="C57" s="135">
        <v>4</v>
      </c>
      <c r="D57" s="111" t="s">
        <v>820</v>
      </c>
      <c r="E57" s="49">
        <v>0</v>
      </c>
      <c r="F57" s="109" t="s">
        <v>825</v>
      </c>
      <c r="G57" s="40">
        <v>1</v>
      </c>
      <c r="H57" s="40">
        <f t="shared" si="5"/>
        <v>14</v>
      </c>
      <c r="I57" s="111" t="s">
        <v>979</v>
      </c>
      <c r="J57" s="50"/>
    </row>
    <row r="58" spans="1:10">
      <c r="A58" s="41" t="s">
        <v>853</v>
      </c>
      <c r="B58" s="44" t="s">
        <v>169</v>
      </c>
      <c r="C58" s="164">
        <v>5</v>
      </c>
      <c r="D58" s="111" t="s">
        <v>579</v>
      </c>
      <c r="E58" s="49">
        <v>0</v>
      </c>
      <c r="F58" s="109" t="s">
        <v>806</v>
      </c>
      <c r="G58" s="40">
        <v>12</v>
      </c>
      <c r="H58" s="40">
        <f t="shared" si="5"/>
        <v>26</v>
      </c>
      <c r="I58" s="111" t="s">
        <v>654</v>
      </c>
      <c r="J58" s="50"/>
    </row>
    <row r="59" spans="1:10">
      <c r="A59" s="41" t="s">
        <v>853</v>
      </c>
      <c r="B59" s="44" t="s">
        <v>169</v>
      </c>
      <c r="C59" s="135">
        <v>6</v>
      </c>
      <c r="D59" s="111" t="s">
        <v>549</v>
      </c>
      <c r="E59" s="49">
        <v>0</v>
      </c>
      <c r="F59" s="109" t="s">
        <v>806</v>
      </c>
      <c r="G59" s="40">
        <v>15</v>
      </c>
      <c r="H59" s="40">
        <f t="shared" si="5"/>
        <v>41</v>
      </c>
      <c r="I59" s="111" t="s">
        <v>626</v>
      </c>
      <c r="J59" s="50"/>
    </row>
    <row r="60" spans="1:10">
      <c r="A60" s="41" t="s">
        <v>853</v>
      </c>
      <c r="B60" s="44" t="s">
        <v>169</v>
      </c>
      <c r="C60" s="164">
        <v>7</v>
      </c>
      <c r="D60" s="111" t="s">
        <v>553</v>
      </c>
      <c r="E60" s="49">
        <v>0</v>
      </c>
      <c r="F60" s="109" t="s">
        <v>806</v>
      </c>
      <c r="G60" s="40">
        <v>12</v>
      </c>
      <c r="H60" s="40">
        <f t="shared" si="5"/>
        <v>53</v>
      </c>
      <c r="I60" s="111" t="s">
        <v>654</v>
      </c>
      <c r="J60" s="50"/>
    </row>
    <row r="61" spans="1:10">
      <c r="A61" s="41" t="s">
        <v>853</v>
      </c>
      <c r="B61" s="44" t="s">
        <v>169</v>
      </c>
      <c r="C61" s="135">
        <v>8</v>
      </c>
      <c r="D61" s="111" t="s">
        <v>566</v>
      </c>
      <c r="E61" s="49">
        <v>0</v>
      </c>
      <c r="F61" s="109" t="s">
        <v>806</v>
      </c>
      <c r="G61" s="40">
        <v>15</v>
      </c>
      <c r="H61" s="40">
        <f t="shared" si="5"/>
        <v>68</v>
      </c>
      <c r="I61" s="111" t="s">
        <v>626</v>
      </c>
      <c r="J61" s="50"/>
    </row>
    <row r="62" spans="1:10">
      <c r="A62" s="41" t="s">
        <v>853</v>
      </c>
      <c r="B62" s="44" t="s">
        <v>169</v>
      </c>
      <c r="C62" s="164">
        <v>9</v>
      </c>
      <c r="D62" s="111" t="s">
        <v>753</v>
      </c>
      <c r="E62" s="49">
        <v>0</v>
      </c>
      <c r="F62" s="109" t="s">
        <v>825</v>
      </c>
      <c r="G62" s="40">
        <v>1</v>
      </c>
      <c r="H62" s="40">
        <f t="shared" si="5"/>
        <v>69</v>
      </c>
      <c r="I62" s="111" t="s">
        <v>731</v>
      </c>
      <c r="J62" s="50"/>
    </row>
    <row r="63" spans="1:10">
      <c r="A63" s="41" t="s">
        <v>853</v>
      </c>
      <c r="B63" s="44" t="s">
        <v>169</v>
      </c>
      <c r="C63" s="135">
        <v>10</v>
      </c>
      <c r="D63" s="111" t="s">
        <v>577</v>
      </c>
      <c r="E63" s="49">
        <v>0</v>
      </c>
      <c r="F63" s="109" t="s">
        <v>806</v>
      </c>
      <c r="G63" s="40">
        <v>12</v>
      </c>
      <c r="H63" s="40">
        <f t="shared" si="5"/>
        <v>81</v>
      </c>
      <c r="I63" s="111" t="s">
        <v>654</v>
      </c>
      <c r="J63" s="50"/>
    </row>
    <row r="64" spans="1:10">
      <c r="A64" s="41" t="s">
        <v>853</v>
      </c>
      <c r="B64" s="44" t="s">
        <v>169</v>
      </c>
      <c r="C64" s="164">
        <v>11</v>
      </c>
      <c r="D64" s="111" t="s">
        <v>534</v>
      </c>
      <c r="E64" s="49">
        <v>0</v>
      </c>
      <c r="F64" s="109" t="s">
        <v>825</v>
      </c>
      <c r="G64" s="40">
        <v>1</v>
      </c>
      <c r="H64" s="40">
        <f t="shared" si="5"/>
        <v>82</v>
      </c>
      <c r="I64" s="111" t="s">
        <v>731</v>
      </c>
      <c r="J64" s="50"/>
    </row>
    <row r="65" spans="1:10">
      <c r="A65" s="41" t="s">
        <v>853</v>
      </c>
      <c r="B65" s="44" t="s">
        <v>169</v>
      </c>
      <c r="C65" s="135">
        <v>12</v>
      </c>
      <c r="D65" s="111" t="s">
        <v>364</v>
      </c>
      <c r="E65" s="49">
        <v>0</v>
      </c>
      <c r="F65" s="109" t="s">
        <v>806</v>
      </c>
      <c r="G65" s="40">
        <v>15</v>
      </c>
      <c r="H65" s="40">
        <f t="shared" si="5"/>
        <v>97</v>
      </c>
      <c r="I65" s="111" t="s">
        <v>622</v>
      </c>
      <c r="J65" s="50"/>
    </row>
    <row r="66" spans="1:10">
      <c r="A66" s="41" t="s">
        <v>853</v>
      </c>
      <c r="B66" s="44" t="s">
        <v>169</v>
      </c>
      <c r="C66" s="164">
        <v>13</v>
      </c>
      <c r="D66" s="111" t="s">
        <v>881</v>
      </c>
      <c r="E66" s="49">
        <v>0</v>
      </c>
      <c r="F66" s="109" t="s">
        <v>825</v>
      </c>
      <c r="G66" s="40">
        <v>2</v>
      </c>
      <c r="H66" s="40">
        <f t="shared" si="5"/>
        <v>99</v>
      </c>
      <c r="I66" s="111" t="s">
        <v>787</v>
      </c>
      <c r="J66" s="50"/>
    </row>
    <row r="67" spans="1:10">
      <c r="A67" s="41" t="s">
        <v>853</v>
      </c>
      <c r="B67" s="47" t="s">
        <v>169</v>
      </c>
      <c r="C67" s="135">
        <v>14</v>
      </c>
      <c r="D67" s="112" t="s">
        <v>39</v>
      </c>
      <c r="E67" s="51">
        <v>0</v>
      </c>
      <c r="F67" s="144" t="s">
        <v>825</v>
      </c>
      <c r="G67" s="114">
        <v>1</v>
      </c>
      <c r="H67" s="114">
        <f t="shared" si="5"/>
        <v>100</v>
      </c>
      <c r="I67" s="108" t="s">
        <v>591</v>
      </c>
      <c r="J67" s="114"/>
    </row>
    <row r="68" spans="1:10">
      <c r="A68" s="41" t="s">
        <v>848</v>
      </c>
      <c r="B68" s="44" t="s">
        <v>1547</v>
      </c>
      <c r="C68" s="42">
        <v>1</v>
      </c>
      <c r="D68" s="110" t="s">
        <v>392</v>
      </c>
      <c r="E68" s="42">
        <v>0</v>
      </c>
      <c r="F68" s="120" t="s">
        <v>825</v>
      </c>
      <c r="G68" s="40">
        <v>2</v>
      </c>
      <c r="H68" s="40">
        <v>2</v>
      </c>
      <c r="I68" s="111" t="s">
        <v>63</v>
      </c>
      <c r="J68" s="40"/>
    </row>
    <row r="69" spans="1:10">
      <c r="A69" s="41" t="s">
        <v>848</v>
      </c>
      <c r="B69" s="44" t="s">
        <v>1546</v>
      </c>
      <c r="C69" s="25">
        <v>2</v>
      </c>
      <c r="D69" s="111" t="s">
        <v>706</v>
      </c>
      <c r="E69" s="40">
        <v>0</v>
      </c>
      <c r="F69" s="160" t="s">
        <v>825</v>
      </c>
      <c r="G69" s="40">
        <v>3</v>
      </c>
      <c r="H69" s="40">
        <f t="shared" ref="H69:H77" si="6">H68+G69</f>
        <v>5</v>
      </c>
      <c r="I69" s="107" t="s">
        <v>1672</v>
      </c>
      <c r="J69" s="50"/>
    </row>
    <row r="70" spans="1:10">
      <c r="A70" s="41" t="s">
        <v>848</v>
      </c>
      <c r="B70" s="44" t="s">
        <v>1546</v>
      </c>
      <c r="C70" s="164">
        <v>3</v>
      </c>
      <c r="D70" s="111" t="s">
        <v>943</v>
      </c>
      <c r="E70" s="40">
        <v>0</v>
      </c>
      <c r="F70" s="109" t="s">
        <v>825</v>
      </c>
      <c r="G70" s="40">
        <v>12</v>
      </c>
      <c r="H70" s="40">
        <f t="shared" si="6"/>
        <v>17</v>
      </c>
      <c r="I70" s="111" t="s">
        <v>1659</v>
      </c>
      <c r="J70" s="50"/>
    </row>
    <row r="71" spans="1:10">
      <c r="A71" s="41" t="s">
        <v>848</v>
      </c>
      <c r="B71" s="48" t="s">
        <v>1546</v>
      </c>
      <c r="C71" s="135">
        <v>4</v>
      </c>
      <c r="D71" s="113" t="s">
        <v>609</v>
      </c>
      <c r="E71" s="49">
        <v>0</v>
      </c>
      <c r="F71" s="109" t="s">
        <v>806</v>
      </c>
      <c r="G71" s="40">
        <v>8</v>
      </c>
      <c r="H71" s="40">
        <f t="shared" si="6"/>
        <v>25</v>
      </c>
      <c r="I71" s="111" t="s">
        <v>911</v>
      </c>
      <c r="J71" s="50"/>
    </row>
    <row r="72" spans="1:10" ht="56.25">
      <c r="A72" s="41" t="s">
        <v>1107</v>
      </c>
      <c r="B72" s="48" t="s">
        <v>1546</v>
      </c>
      <c r="C72" s="135">
        <v>5</v>
      </c>
      <c r="D72" s="113" t="s">
        <v>1105</v>
      </c>
      <c r="E72" s="49">
        <v>0</v>
      </c>
      <c r="F72" s="109" t="s">
        <v>825</v>
      </c>
      <c r="G72" s="40">
        <v>3</v>
      </c>
      <c r="H72" s="40">
        <f t="shared" si="6"/>
        <v>28</v>
      </c>
      <c r="I72" s="111" t="s">
        <v>1660</v>
      </c>
      <c r="J72" s="50"/>
    </row>
    <row r="73" spans="1:10">
      <c r="A73" s="41" t="s">
        <v>848</v>
      </c>
      <c r="B73" s="48" t="s">
        <v>1546</v>
      </c>
      <c r="C73" s="135">
        <v>6</v>
      </c>
      <c r="D73" s="113" t="s">
        <v>390</v>
      </c>
      <c r="E73" s="49">
        <v>0</v>
      </c>
      <c r="F73" s="109" t="s">
        <v>825</v>
      </c>
      <c r="G73" s="40">
        <v>6</v>
      </c>
      <c r="H73" s="40">
        <f t="shared" si="6"/>
        <v>34</v>
      </c>
      <c r="I73" s="111"/>
      <c r="J73" s="50"/>
    </row>
    <row r="74" spans="1:10">
      <c r="A74" s="41" t="s">
        <v>848</v>
      </c>
      <c r="B74" s="48" t="s">
        <v>1546</v>
      </c>
      <c r="C74" s="164">
        <v>7</v>
      </c>
      <c r="D74" s="113" t="s">
        <v>312</v>
      </c>
      <c r="E74" s="49">
        <v>0</v>
      </c>
      <c r="F74" s="109" t="s">
        <v>825</v>
      </c>
      <c r="G74" s="40">
        <v>50</v>
      </c>
      <c r="H74" s="40">
        <f t="shared" si="6"/>
        <v>84</v>
      </c>
      <c r="I74" s="111"/>
      <c r="J74" s="50"/>
    </row>
    <row r="75" spans="1:10">
      <c r="A75" s="41" t="s">
        <v>848</v>
      </c>
      <c r="B75" s="48" t="s">
        <v>1546</v>
      </c>
      <c r="C75" s="135">
        <v>8</v>
      </c>
      <c r="D75" s="113" t="s">
        <v>330</v>
      </c>
      <c r="E75" s="49">
        <v>0</v>
      </c>
      <c r="F75" s="109" t="s">
        <v>825</v>
      </c>
      <c r="G75" s="40">
        <v>40</v>
      </c>
      <c r="H75" s="40">
        <f t="shared" si="6"/>
        <v>124</v>
      </c>
      <c r="I75" s="111"/>
      <c r="J75" s="50"/>
    </row>
    <row r="76" spans="1:10">
      <c r="A76" s="41" t="s">
        <v>848</v>
      </c>
      <c r="B76" s="48" t="s">
        <v>1546</v>
      </c>
      <c r="C76" s="164">
        <v>9</v>
      </c>
      <c r="D76" s="113" t="s">
        <v>881</v>
      </c>
      <c r="E76" s="49">
        <v>0</v>
      </c>
      <c r="F76" s="109" t="s">
        <v>825</v>
      </c>
      <c r="G76" s="40">
        <v>5</v>
      </c>
      <c r="H76" s="40">
        <f t="shared" si="6"/>
        <v>129</v>
      </c>
      <c r="I76" s="113"/>
      <c r="J76" s="50"/>
    </row>
    <row r="77" spans="1:10">
      <c r="A77" s="41" t="s">
        <v>848</v>
      </c>
      <c r="B77" s="45" t="s">
        <v>1546</v>
      </c>
      <c r="C77" s="146">
        <v>10</v>
      </c>
      <c r="D77" s="108" t="s">
        <v>39</v>
      </c>
      <c r="E77" s="39">
        <v>0</v>
      </c>
      <c r="F77" s="144" t="s">
        <v>825</v>
      </c>
      <c r="G77" s="114">
        <v>1</v>
      </c>
      <c r="H77" s="114">
        <f t="shared" si="6"/>
        <v>130</v>
      </c>
      <c r="I77" s="108" t="s">
        <v>544</v>
      </c>
      <c r="J77" s="114"/>
    </row>
    <row r="78" spans="1:10">
      <c r="A78" s="41" t="s">
        <v>861</v>
      </c>
      <c r="B78" s="44" t="s">
        <v>1549</v>
      </c>
      <c r="C78" s="42">
        <v>1</v>
      </c>
      <c r="D78" s="110" t="s">
        <v>381</v>
      </c>
      <c r="E78" s="42">
        <v>0</v>
      </c>
      <c r="F78" s="120" t="s">
        <v>825</v>
      </c>
      <c r="G78" s="40">
        <v>2</v>
      </c>
      <c r="H78" s="40">
        <v>2</v>
      </c>
      <c r="I78" s="111" t="s">
        <v>61</v>
      </c>
      <c r="J78" s="40"/>
    </row>
    <row r="79" spans="1:10">
      <c r="A79" s="41" t="s">
        <v>861</v>
      </c>
      <c r="B79" s="44" t="s">
        <v>1548</v>
      </c>
      <c r="C79" s="25">
        <v>2</v>
      </c>
      <c r="D79" s="172" t="s">
        <v>706</v>
      </c>
      <c r="E79" s="40">
        <v>0</v>
      </c>
      <c r="F79" s="160" t="s">
        <v>825</v>
      </c>
      <c r="G79" s="40">
        <v>3</v>
      </c>
      <c r="H79" s="40">
        <f t="shared" ref="H79:H99" si="7">H78+G79</f>
        <v>5</v>
      </c>
      <c r="I79" s="107" t="s">
        <v>1672</v>
      </c>
      <c r="J79" s="50"/>
    </row>
    <row r="80" spans="1:10">
      <c r="A80" s="41" t="s">
        <v>861</v>
      </c>
      <c r="B80" s="44" t="s">
        <v>1548</v>
      </c>
      <c r="C80" s="164">
        <v>3</v>
      </c>
      <c r="D80" s="111" t="s">
        <v>943</v>
      </c>
      <c r="E80" s="49">
        <v>0</v>
      </c>
      <c r="F80" s="109" t="s">
        <v>825</v>
      </c>
      <c r="G80" s="40" t="s">
        <v>87</v>
      </c>
      <c r="H80" s="40">
        <f t="shared" si="7"/>
        <v>17</v>
      </c>
      <c r="I80" s="111" t="s">
        <v>1659</v>
      </c>
      <c r="J80" s="50"/>
    </row>
    <row r="81" spans="1:10">
      <c r="A81" s="41" t="s">
        <v>861</v>
      </c>
      <c r="B81" s="44" t="s">
        <v>1548</v>
      </c>
      <c r="C81" s="135">
        <v>4</v>
      </c>
      <c r="D81" s="111" t="s">
        <v>576</v>
      </c>
      <c r="E81" s="49">
        <v>0</v>
      </c>
      <c r="F81" s="50" t="s">
        <v>806</v>
      </c>
      <c r="G81" s="40" t="s">
        <v>150</v>
      </c>
      <c r="H81" s="40">
        <f t="shared" si="7"/>
        <v>25</v>
      </c>
      <c r="I81" s="111" t="s">
        <v>184</v>
      </c>
      <c r="J81" s="50"/>
    </row>
    <row r="82" spans="1:10" ht="22.5">
      <c r="A82" s="201" t="s">
        <v>861</v>
      </c>
      <c r="B82" s="202" t="s">
        <v>1548</v>
      </c>
      <c r="C82" s="353">
        <v>5</v>
      </c>
      <c r="D82" s="352" t="s">
        <v>1688</v>
      </c>
      <c r="E82" s="131">
        <v>0</v>
      </c>
      <c r="F82" s="354" t="s">
        <v>998</v>
      </c>
      <c r="G82" s="132" t="s">
        <v>109</v>
      </c>
      <c r="H82" s="132">
        <f t="shared" si="7"/>
        <v>35</v>
      </c>
      <c r="I82" s="203" t="s">
        <v>1675</v>
      </c>
      <c r="J82" s="50"/>
    </row>
    <row r="83" spans="1:10">
      <c r="A83" s="41" t="s">
        <v>861</v>
      </c>
      <c r="B83" s="44" t="s">
        <v>1548</v>
      </c>
      <c r="C83" s="135">
        <v>6</v>
      </c>
      <c r="D83" s="111" t="s">
        <v>443</v>
      </c>
      <c r="E83" s="49">
        <v>0</v>
      </c>
      <c r="F83" s="50" t="s">
        <v>998</v>
      </c>
      <c r="G83" s="40" t="s">
        <v>145</v>
      </c>
      <c r="H83" s="40">
        <f t="shared" si="7"/>
        <v>50</v>
      </c>
      <c r="I83" s="111" t="s">
        <v>144</v>
      </c>
      <c r="J83" s="50"/>
    </row>
    <row r="84" spans="1:10">
      <c r="A84" s="41" t="s">
        <v>861</v>
      </c>
      <c r="B84" s="44" t="s">
        <v>1548</v>
      </c>
      <c r="C84" s="164">
        <v>7</v>
      </c>
      <c r="D84" s="111" t="s">
        <v>315</v>
      </c>
      <c r="E84" s="49">
        <v>0</v>
      </c>
      <c r="F84" s="50" t="s">
        <v>806</v>
      </c>
      <c r="G84" s="40" t="s">
        <v>145</v>
      </c>
      <c r="H84" s="40">
        <f t="shared" si="7"/>
        <v>65</v>
      </c>
      <c r="I84" s="111" t="s">
        <v>622</v>
      </c>
      <c r="J84" s="50"/>
    </row>
    <row r="85" spans="1:10" ht="45">
      <c r="A85" s="41" t="s">
        <v>861</v>
      </c>
      <c r="B85" s="44" t="s">
        <v>1548</v>
      </c>
      <c r="C85" s="135">
        <v>8</v>
      </c>
      <c r="D85" s="111" t="s">
        <v>889</v>
      </c>
      <c r="E85" s="49">
        <v>2</v>
      </c>
      <c r="F85" s="160" t="s">
        <v>824</v>
      </c>
      <c r="G85" s="40" t="s">
        <v>86</v>
      </c>
      <c r="H85" s="40">
        <f t="shared" si="7"/>
        <v>74</v>
      </c>
      <c r="I85" s="111" t="s">
        <v>1673</v>
      </c>
      <c r="J85" s="50"/>
    </row>
    <row r="86" spans="1:10">
      <c r="A86" s="41" t="s">
        <v>861</v>
      </c>
      <c r="B86" s="44" t="s">
        <v>1548</v>
      </c>
      <c r="C86" s="164">
        <v>9</v>
      </c>
      <c r="D86" s="111" t="s">
        <v>155</v>
      </c>
      <c r="E86" s="49">
        <v>0</v>
      </c>
      <c r="F86" s="50" t="s">
        <v>998</v>
      </c>
      <c r="G86" s="40" t="s">
        <v>145</v>
      </c>
      <c r="H86" s="40">
        <f t="shared" si="7"/>
        <v>89</v>
      </c>
      <c r="I86" s="111" t="s">
        <v>144</v>
      </c>
      <c r="J86" s="50"/>
    </row>
    <row r="87" spans="1:10">
      <c r="A87" s="41" t="s">
        <v>861</v>
      </c>
      <c r="B87" s="44" t="s">
        <v>1548</v>
      </c>
      <c r="C87" s="135">
        <v>10</v>
      </c>
      <c r="D87" s="111" t="s">
        <v>884</v>
      </c>
      <c r="E87" s="49">
        <v>0</v>
      </c>
      <c r="F87" s="50" t="s">
        <v>825</v>
      </c>
      <c r="G87" s="40" t="s">
        <v>145</v>
      </c>
      <c r="H87" s="40">
        <f t="shared" si="7"/>
        <v>104</v>
      </c>
      <c r="I87" s="111" t="s">
        <v>144</v>
      </c>
      <c r="J87" s="50"/>
    </row>
    <row r="88" spans="1:10" ht="22.5">
      <c r="A88" s="41" t="s">
        <v>861</v>
      </c>
      <c r="B88" s="44" t="s">
        <v>1548</v>
      </c>
      <c r="C88" s="164">
        <v>11</v>
      </c>
      <c r="D88" s="111" t="s">
        <v>309</v>
      </c>
      <c r="E88" s="49">
        <v>0</v>
      </c>
      <c r="F88" s="109" t="s">
        <v>824</v>
      </c>
      <c r="G88" s="40" t="s">
        <v>86</v>
      </c>
      <c r="H88" s="40">
        <f t="shared" si="7"/>
        <v>113</v>
      </c>
      <c r="I88" s="111" t="s">
        <v>641</v>
      </c>
      <c r="J88" s="50"/>
    </row>
    <row r="89" spans="1:10">
      <c r="A89" s="41" t="s">
        <v>861</v>
      </c>
      <c r="B89" s="44" t="s">
        <v>1548</v>
      </c>
      <c r="C89" s="135">
        <v>12</v>
      </c>
      <c r="D89" s="111" t="s">
        <v>387</v>
      </c>
      <c r="E89" s="49">
        <v>0</v>
      </c>
      <c r="F89" s="50" t="s">
        <v>806</v>
      </c>
      <c r="G89" s="40" t="s">
        <v>150</v>
      </c>
      <c r="H89" s="40">
        <f t="shared" si="7"/>
        <v>121</v>
      </c>
      <c r="I89" s="111" t="s">
        <v>558</v>
      </c>
      <c r="J89" s="50"/>
    </row>
    <row r="90" spans="1:10">
      <c r="A90" s="41" t="s">
        <v>861</v>
      </c>
      <c r="B90" s="44" t="s">
        <v>1548</v>
      </c>
      <c r="C90" s="164">
        <v>13</v>
      </c>
      <c r="D90" s="111" t="s">
        <v>1621</v>
      </c>
      <c r="E90" s="49">
        <v>2</v>
      </c>
      <c r="F90" s="160" t="s">
        <v>824</v>
      </c>
      <c r="G90" s="40" t="s">
        <v>86</v>
      </c>
      <c r="H90" s="40">
        <f t="shared" si="7"/>
        <v>130</v>
      </c>
      <c r="I90" s="111" t="s">
        <v>1654</v>
      </c>
      <c r="J90" s="50"/>
    </row>
    <row r="91" spans="1:10" ht="22.5">
      <c r="A91" s="41" t="s">
        <v>861</v>
      </c>
      <c r="B91" s="44" t="s">
        <v>1548</v>
      </c>
      <c r="C91" s="135">
        <v>14</v>
      </c>
      <c r="D91" s="111" t="s">
        <v>1622</v>
      </c>
      <c r="E91" s="49">
        <v>2</v>
      </c>
      <c r="F91" s="160" t="s">
        <v>824</v>
      </c>
      <c r="G91" s="40" t="s">
        <v>86</v>
      </c>
      <c r="H91" s="40">
        <f t="shared" si="7"/>
        <v>139</v>
      </c>
      <c r="I91" s="111" t="s">
        <v>1654</v>
      </c>
      <c r="J91" s="50"/>
    </row>
    <row r="92" spans="1:10">
      <c r="A92" s="41" t="s">
        <v>861</v>
      </c>
      <c r="B92" s="44" t="s">
        <v>1548</v>
      </c>
      <c r="C92" s="164">
        <v>15</v>
      </c>
      <c r="D92" s="111" t="s">
        <v>1623</v>
      </c>
      <c r="E92" s="49">
        <v>2</v>
      </c>
      <c r="F92" s="160" t="s">
        <v>824</v>
      </c>
      <c r="G92" s="40" t="s">
        <v>87</v>
      </c>
      <c r="H92" s="40">
        <f t="shared" si="7"/>
        <v>151</v>
      </c>
      <c r="I92" s="111" t="s">
        <v>1655</v>
      </c>
      <c r="J92" s="50"/>
    </row>
    <row r="93" spans="1:10" ht="22.5">
      <c r="A93" s="41" t="s">
        <v>861</v>
      </c>
      <c r="B93" s="44" t="s">
        <v>1548</v>
      </c>
      <c r="C93" s="135">
        <v>16</v>
      </c>
      <c r="D93" s="111" t="s">
        <v>1624</v>
      </c>
      <c r="E93" s="49">
        <v>2</v>
      </c>
      <c r="F93" s="160" t="s">
        <v>824</v>
      </c>
      <c r="G93" s="40" t="s">
        <v>86</v>
      </c>
      <c r="H93" s="40">
        <f t="shared" si="7"/>
        <v>160</v>
      </c>
      <c r="I93" s="111" t="s">
        <v>1654</v>
      </c>
      <c r="J93" s="50"/>
    </row>
    <row r="94" spans="1:10" ht="22.5">
      <c r="A94" s="41" t="s">
        <v>861</v>
      </c>
      <c r="B94" s="44" t="s">
        <v>1548</v>
      </c>
      <c r="C94" s="164">
        <v>17</v>
      </c>
      <c r="D94" s="111" t="s">
        <v>595</v>
      </c>
      <c r="E94" s="49">
        <v>2</v>
      </c>
      <c r="F94" s="109" t="s">
        <v>824</v>
      </c>
      <c r="G94" s="40" t="s">
        <v>86</v>
      </c>
      <c r="H94" s="40">
        <f t="shared" si="7"/>
        <v>169</v>
      </c>
      <c r="I94" s="111" t="s">
        <v>653</v>
      </c>
      <c r="J94" s="50"/>
    </row>
    <row r="95" spans="1:10" ht="22.5">
      <c r="A95" s="41" t="s">
        <v>861</v>
      </c>
      <c r="B95" s="44" t="s">
        <v>1548</v>
      </c>
      <c r="C95" s="135">
        <v>18</v>
      </c>
      <c r="D95" s="111" t="s">
        <v>195</v>
      </c>
      <c r="E95" s="49">
        <v>2</v>
      </c>
      <c r="F95" s="109" t="s">
        <v>824</v>
      </c>
      <c r="G95" s="40" t="s">
        <v>86</v>
      </c>
      <c r="H95" s="40">
        <f t="shared" si="7"/>
        <v>178</v>
      </c>
      <c r="I95" s="111" t="s">
        <v>624</v>
      </c>
      <c r="J95" s="50"/>
    </row>
    <row r="96" spans="1:10" ht="22.5">
      <c r="A96" s="41" t="s">
        <v>861</v>
      </c>
      <c r="B96" s="44" t="s">
        <v>1548</v>
      </c>
      <c r="C96" s="164">
        <v>19</v>
      </c>
      <c r="D96" s="111" t="s">
        <v>11</v>
      </c>
      <c r="E96" s="49">
        <v>2</v>
      </c>
      <c r="F96" s="109" t="s">
        <v>824</v>
      </c>
      <c r="G96" s="40" t="s">
        <v>86</v>
      </c>
      <c r="H96" s="40">
        <f t="shared" si="7"/>
        <v>187</v>
      </c>
      <c r="I96" s="111" t="s">
        <v>624</v>
      </c>
      <c r="J96" s="50"/>
    </row>
    <row r="97" spans="1:10">
      <c r="A97" s="201" t="s">
        <v>861</v>
      </c>
      <c r="B97" s="202" t="s">
        <v>1548</v>
      </c>
      <c r="C97" s="353">
        <v>5</v>
      </c>
      <c r="D97" s="352" t="s">
        <v>1620</v>
      </c>
      <c r="E97" s="131">
        <v>0</v>
      </c>
      <c r="F97" s="354" t="s">
        <v>998</v>
      </c>
      <c r="G97" s="132">
        <v>16</v>
      </c>
      <c r="H97" s="132">
        <f t="shared" si="7"/>
        <v>203</v>
      </c>
      <c r="I97" s="203" t="s">
        <v>1625</v>
      </c>
      <c r="J97" s="50"/>
    </row>
    <row r="98" spans="1:10">
      <c r="A98" s="201" t="s">
        <v>861</v>
      </c>
      <c r="B98" s="202" t="s">
        <v>1548</v>
      </c>
      <c r="C98" s="204">
        <v>20</v>
      </c>
      <c r="D98" s="203" t="s">
        <v>881</v>
      </c>
      <c r="E98" s="131">
        <v>0</v>
      </c>
      <c r="F98" s="354" t="s">
        <v>825</v>
      </c>
      <c r="G98" s="132">
        <v>46</v>
      </c>
      <c r="H98" s="132">
        <f t="shared" si="7"/>
        <v>249</v>
      </c>
      <c r="I98" s="203" t="s">
        <v>1674</v>
      </c>
      <c r="J98" s="50"/>
    </row>
    <row r="99" spans="1:10">
      <c r="A99" s="41" t="s">
        <v>861</v>
      </c>
      <c r="B99" s="116" t="s">
        <v>1548</v>
      </c>
      <c r="C99" s="165">
        <v>21</v>
      </c>
      <c r="D99" s="116" t="s">
        <v>39</v>
      </c>
      <c r="E99" s="39">
        <v>0</v>
      </c>
      <c r="F99" s="114" t="s">
        <v>825</v>
      </c>
      <c r="G99" s="114">
        <v>1</v>
      </c>
      <c r="H99" s="40">
        <f t="shared" si="7"/>
        <v>250</v>
      </c>
      <c r="I99" s="108" t="s">
        <v>544</v>
      </c>
      <c r="J99" s="114"/>
    </row>
    <row r="100" spans="1:10">
      <c r="A100" s="41" t="s">
        <v>1550</v>
      </c>
      <c r="B100" s="44" t="s">
        <v>1541</v>
      </c>
      <c r="C100" s="42">
        <v>1</v>
      </c>
      <c r="D100" s="110" t="s">
        <v>389</v>
      </c>
      <c r="E100" s="42">
        <v>0</v>
      </c>
      <c r="F100" s="120" t="s">
        <v>825</v>
      </c>
      <c r="G100" s="40">
        <v>2</v>
      </c>
      <c r="H100" s="40">
        <v>2</v>
      </c>
      <c r="I100" s="111" t="s">
        <v>55</v>
      </c>
      <c r="J100" s="40"/>
    </row>
    <row r="101" spans="1:10">
      <c r="A101" s="41" t="s">
        <v>875</v>
      </c>
      <c r="B101" s="44" t="s">
        <v>1541</v>
      </c>
      <c r="C101" s="25">
        <v>2</v>
      </c>
      <c r="D101" s="172" t="s">
        <v>736</v>
      </c>
      <c r="E101" s="40">
        <v>0</v>
      </c>
      <c r="F101" s="160" t="s">
        <v>825</v>
      </c>
      <c r="G101" s="40">
        <v>3</v>
      </c>
      <c r="H101" s="40">
        <f t="shared" ref="H101:H107" si="8">H100+G101</f>
        <v>5</v>
      </c>
      <c r="I101" s="107" t="s">
        <v>1656</v>
      </c>
      <c r="J101" s="50"/>
    </row>
    <row r="102" spans="1:10">
      <c r="A102" s="41" t="s">
        <v>875</v>
      </c>
      <c r="B102" s="44" t="s">
        <v>1540</v>
      </c>
      <c r="C102" s="164">
        <v>3</v>
      </c>
      <c r="D102" s="111" t="s">
        <v>943</v>
      </c>
      <c r="E102" s="49">
        <v>0</v>
      </c>
      <c r="F102" s="160" t="s">
        <v>825</v>
      </c>
      <c r="G102" s="40" t="s">
        <v>87</v>
      </c>
      <c r="H102" s="40">
        <f t="shared" si="8"/>
        <v>17</v>
      </c>
      <c r="I102" s="111" t="s">
        <v>1434</v>
      </c>
      <c r="J102" s="50"/>
    </row>
    <row r="103" spans="1:10">
      <c r="A103" s="41" t="s">
        <v>875</v>
      </c>
      <c r="B103" s="44" t="s">
        <v>1540</v>
      </c>
      <c r="C103" s="135">
        <v>4</v>
      </c>
      <c r="D103" s="113" t="s">
        <v>802</v>
      </c>
      <c r="E103" s="49">
        <v>0</v>
      </c>
      <c r="F103" s="160" t="s">
        <v>825</v>
      </c>
      <c r="G103" s="40" t="s">
        <v>138</v>
      </c>
      <c r="H103" s="40">
        <f t="shared" si="8"/>
        <v>23</v>
      </c>
      <c r="I103" s="111" t="s">
        <v>216</v>
      </c>
      <c r="J103" s="50"/>
    </row>
    <row r="104" spans="1:10">
      <c r="A104" s="41" t="s">
        <v>875</v>
      </c>
      <c r="B104" s="44" t="s">
        <v>1540</v>
      </c>
      <c r="C104" s="164">
        <v>5</v>
      </c>
      <c r="D104" s="113" t="s">
        <v>373</v>
      </c>
      <c r="E104" s="49">
        <v>2</v>
      </c>
      <c r="F104" s="160" t="s">
        <v>824</v>
      </c>
      <c r="G104" s="40" t="s">
        <v>86</v>
      </c>
      <c r="H104" s="40">
        <f t="shared" si="8"/>
        <v>32</v>
      </c>
      <c r="I104" s="111" t="s">
        <v>1657</v>
      </c>
      <c r="J104" s="50"/>
    </row>
    <row r="105" spans="1:10">
      <c r="A105" s="41" t="s">
        <v>875</v>
      </c>
      <c r="B105" s="44" t="s">
        <v>1540</v>
      </c>
      <c r="C105" s="135">
        <v>6</v>
      </c>
      <c r="D105" s="113" t="s">
        <v>738</v>
      </c>
      <c r="E105" s="49">
        <v>2</v>
      </c>
      <c r="F105" s="160" t="s">
        <v>824</v>
      </c>
      <c r="G105" s="40" t="s">
        <v>86</v>
      </c>
      <c r="H105" s="40">
        <f t="shared" si="8"/>
        <v>41</v>
      </c>
      <c r="I105" s="111" t="s">
        <v>1657</v>
      </c>
      <c r="J105" s="50"/>
    </row>
    <row r="106" spans="1:10">
      <c r="A106" s="41" t="s">
        <v>875</v>
      </c>
      <c r="B106" s="44" t="s">
        <v>1540</v>
      </c>
      <c r="C106" s="164">
        <v>7</v>
      </c>
      <c r="D106" s="113" t="s">
        <v>881</v>
      </c>
      <c r="E106" s="49">
        <v>0</v>
      </c>
      <c r="F106" s="160" t="s">
        <v>825</v>
      </c>
      <c r="G106" s="40" t="s">
        <v>90</v>
      </c>
      <c r="H106" s="40">
        <f t="shared" si="8"/>
        <v>69</v>
      </c>
      <c r="I106" s="111" t="s">
        <v>787</v>
      </c>
      <c r="J106" s="50"/>
    </row>
    <row r="107" spans="1:10">
      <c r="A107" s="41" t="s">
        <v>875</v>
      </c>
      <c r="B107" s="45" t="s">
        <v>1540</v>
      </c>
      <c r="C107" s="146">
        <v>8</v>
      </c>
      <c r="D107" s="108" t="s">
        <v>39</v>
      </c>
      <c r="E107" s="39">
        <v>0</v>
      </c>
      <c r="F107" s="343" t="s">
        <v>825</v>
      </c>
      <c r="G107" s="114">
        <v>1</v>
      </c>
      <c r="H107" s="114">
        <f t="shared" si="8"/>
        <v>70</v>
      </c>
      <c r="I107" s="108" t="s">
        <v>544</v>
      </c>
      <c r="J107" s="114"/>
    </row>
    <row r="108" spans="1:10">
      <c r="A108" s="41" t="s">
        <v>865</v>
      </c>
      <c r="B108" s="44" t="s">
        <v>1543</v>
      </c>
      <c r="C108" s="42">
        <v>1</v>
      </c>
      <c r="D108" s="110" t="s">
        <v>389</v>
      </c>
      <c r="E108" s="42">
        <v>0</v>
      </c>
      <c r="F108" s="162" t="s">
        <v>825</v>
      </c>
      <c r="G108" s="40">
        <v>2</v>
      </c>
      <c r="H108" s="40">
        <v>2</v>
      </c>
      <c r="I108" s="111" t="s">
        <v>72</v>
      </c>
      <c r="J108" s="40"/>
    </row>
    <row r="109" spans="1:10">
      <c r="A109" s="41" t="s">
        <v>865</v>
      </c>
      <c r="B109" s="44" t="s">
        <v>1542</v>
      </c>
      <c r="C109" s="25">
        <v>2</v>
      </c>
      <c r="D109" s="172" t="s">
        <v>736</v>
      </c>
      <c r="E109" s="40">
        <v>0</v>
      </c>
      <c r="F109" s="160" t="s">
        <v>825</v>
      </c>
      <c r="G109" s="40">
        <v>3</v>
      </c>
      <c r="H109" s="40">
        <f t="shared" ref="H109:H115" si="9">H108+G109</f>
        <v>5</v>
      </c>
      <c r="I109" s="107" t="s">
        <v>1658</v>
      </c>
      <c r="J109" s="50"/>
    </row>
    <row r="110" spans="1:10">
      <c r="A110" s="41" t="s">
        <v>865</v>
      </c>
      <c r="B110" s="44" t="s">
        <v>1542</v>
      </c>
      <c r="C110" s="164">
        <v>3</v>
      </c>
      <c r="D110" s="111" t="s">
        <v>943</v>
      </c>
      <c r="E110" s="49">
        <v>0</v>
      </c>
      <c r="F110" s="160" t="s">
        <v>825</v>
      </c>
      <c r="G110" s="40" t="s">
        <v>87</v>
      </c>
      <c r="H110" s="40">
        <f t="shared" si="9"/>
        <v>17</v>
      </c>
      <c r="I110" s="111" t="s">
        <v>1435</v>
      </c>
      <c r="J110" s="50"/>
    </row>
    <row r="111" spans="1:10">
      <c r="A111" s="41" t="s">
        <v>865</v>
      </c>
      <c r="B111" s="44" t="s">
        <v>1542</v>
      </c>
      <c r="C111" s="135">
        <v>4</v>
      </c>
      <c r="D111" s="111" t="s">
        <v>802</v>
      </c>
      <c r="E111" s="49">
        <v>0</v>
      </c>
      <c r="F111" s="160" t="s">
        <v>825</v>
      </c>
      <c r="G111" s="40" t="s">
        <v>138</v>
      </c>
      <c r="H111" s="40">
        <f t="shared" si="9"/>
        <v>23</v>
      </c>
      <c r="I111" s="111" t="s">
        <v>208</v>
      </c>
      <c r="J111" s="50"/>
    </row>
    <row r="112" spans="1:10">
      <c r="A112" s="41" t="s">
        <v>865</v>
      </c>
      <c r="B112" s="44" t="s">
        <v>1542</v>
      </c>
      <c r="C112" s="164">
        <v>5</v>
      </c>
      <c r="D112" s="111" t="s">
        <v>373</v>
      </c>
      <c r="E112" s="49">
        <v>2</v>
      </c>
      <c r="F112" s="160" t="s">
        <v>824</v>
      </c>
      <c r="G112" s="40" t="s">
        <v>86</v>
      </c>
      <c r="H112" s="40">
        <f t="shared" si="9"/>
        <v>32</v>
      </c>
      <c r="I112" s="111" t="s">
        <v>1657</v>
      </c>
      <c r="J112" s="50"/>
    </row>
    <row r="113" spans="1:10">
      <c r="A113" s="41" t="s">
        <v>865</v>
      </c>
      <c r="B113" s="44" t="s">
        <v>1542</v>
      </c>
      <c r="C113" s="135">
        <v>6</v>
      </c>
      <c r="D113" s="111" t="s">
        <v>288</v>
      </c>
      <c r="E113" s="49">
        <v>2</v>
      </c>
      <c r="F113" s="160" t="s">
        <v>824</v>
      </c>
      <c r="G113" s="40" t="s">
        <v>86</v>
      </c>
      <c r="H113" s="40">
        <f t="shared" si="9"/>
        <v>41</v>
      </c>
      <c r="I113" s="111" t="s">
        <v>1657</v>
      </c>
      <c r="J113" s="50"/>
    </row>
    <row r="114" spans="1:10">
      <c r="A114" s="41" t="s">
        <v>865</v>
      </c>
      <c r="B114" s="44" t="s">
        <v>1542</v>
      </c>
      <c r="C114" s="164">
        <v>7</v>
      </c>
      <c r="D114" s="111" t="s">
        <v>881</v>
      </c>
      <c r="E114" s="49">
        <v>0</v>
      </c>
      <c r="F114" s="160" t="s">
        <v>825</v>
      </c>
      <c r="G114" s="40">
        <v>8</v>
      </c>
      <c r="H114" s="40">
        <f t="shared" si="9"/>
        <v>49</v>
      </c>
      <c r="I114" s="111" t="s">
        <v>787</v>
      </c>
      <c r="J114" s="50"/>
    </row>
    <row r="115" spans="1:10">
      <c r="A115" s="41" t="s">
        <v>865</v>
      </c>
      <c r="B115" s="108" t="s">
        <v>1542</v>
      </c>
      <c r="C115" s="146">
        <v>8</v>
      </c>
      <c r="D115" s="108" t="s">
        <v>39</v>
      </c>
      <c r="E115" s="39">
        <v>0</v>
      </c>
      <c r="F115" s="343" t="s">
        <v>825</v>
      </c>
      <c r="G115" s="114">
        <v>1</v>
      </c>
      <c r="H115" s="114">
        <f t="shared" si="9"/>
        <v>50</v>
      </c>
      <c r="I115" s="108" t="s">
        <v>544</v>
      </c>
      <c r="J115" s="114"/>
    </row>
    <row r="116" spans="1:10">
      <c r="A116" s="41" t="s">
        <v>1551</v>
      </c>
      <c r="B116" s="44" t="s">
        <v>1539</v>
      </c>
      <c r="C116" s="42">
        <v>1</v>
      </c>
      <c r="D116" s="110" t="s">
        <v>392</v>
      </c>
      <c r="E116" s="42">
        <v>0</v>
      </c>
      <c r="F116" s="162" t="s">
        <v>825</v>
      </c>
      <c r="G116" s="40">
        <v>2</v>
      </c>
      <c r="H116" s="40">
        <v>2</v>
      </c>
      <c r="I116" s="111" t="s">
        <v>69</v>
      </c>
      <c r="J116" s="40"/>
    </row>
    <row r="117" spans="1:10">
      <c r="A117" s="41" t="s">
        <v>833</v>
      </c>
      <c r="B117" s="44" t="s">
        <v>1539</v>
      </c>
      <c r="C117" s="25">
        <v>2</v>
      </c>
      <c r="D117" s="172" t="s">
        <v>706</v>
      </c>
      <c r="E117" s="40">
        <v>0</v>
      </c>
      <c r="F117" s="160" t="s">
        <v>825</v>
      </c>
      <c r="G117" s="40">
        <v>3</v>
      </c>
      <c r="H117" s="40">
        <f t="shared" ref="H117:H131" si="10">H116+G117</f>
        <v>5</v>
      </c>
      <c r="I117" s="107" t="s">
        <v>1658</v>
      </c>
      <c r="J117" s="50"/>
    </row>
    <row r="118" spans="1:10">
      <c r="A118" s="41" t="s">
        <v>833</v>
      </c>
      <c r="B118" s="44" t="s">
        <v>1539</v>
      </c>
      <c r="C118" s="164">
        <v>3</v>
      </c>
      <c r="D118" s="111" t="s">
        <v>943</v>
      </c>
      <c r="E118" s="49">
        <v>0</v>
      </c>
      <c r="F118" s="160" t="s">
        <v>825</v>
      </c>
      <c r="G118" s="40" t="s">
        <v>87</v>
      </c>
      <c r="H118" s="40">
        <f t="shared" si="10"/>
        <v>17</v>
      </c>
      <c r="I118" s="111" t="s">
        <v>1432</v>
      </c>
      <c r="J118" s="50"/>
    </row>
    <row r="119" spans="1:10">
      <c r="A119" s="41" t="s">
        <v>833</v>
      </c>
      <c r="B119" s="44" t="s">
        <v>1539</v>
      </c>
      <c r="C119" s="135">
        <v>4</v>
      </c>
      <c r="D119" s="113" t="s">
        <v>540</v>
      </c>
      <c r="E119" s="49">
        <v>0</v>
      </c>
      <c r="F119" s="50" t="s">
        <v>806</v>
      </c>
      <c r="G119" s="40" t="s">
        <v>150</v>
      </c>
      <c r="H119" s="40">
        <f t="shared" si="10"/>
        <v>25</v>
      </c>
      <c r="I119" s="111" t="s">
        <v>888</v>
      </c>
      <c r="J119" s="50"/>
    </row>
    <row r="120" spans="1:10">
      <c r="A120" s="41" t="s">
        <v>833</v>
      </c>
      <c r="B120" s="44" t="s">
        <v>1539</v>
      </c>
      <c r="C120" s="164">
        <v>5</v>
      </c>
      <c r="D120" s="113" t="s">
        <v>795</v>
      </c>
      <c r="E120" s="49">
        <v>0</v>
      </c>
      <c r="F120" s="50" t="s">
        <v>825</v>
      </c>
      <c r="G120" s="40" t="s">
        <v>150</v>
      </c>
      <c r="H120" s="40">
        <f t="shared" si="10"/>
        <v>33</v>
      </c>
      <c r="I120" s="111" t="s">
        <v>882</v>
      </c>
      <c r="J120" s="50"/>
    </row>
    <row r="121" spans="1:10" ht="56.25">
      <c r="A121" s="41" t="s">
        <v>1108</v>
      </c>
      <c r="B121" s="44" t="s">
        <v>1539</v>
      </c>
      <c r="C121" s="164">
        <v>6</v>
      </c>
      <c r="D121" s="113" t="s">
        <v>1105</v>
      </c>
      <c r="E121" s="49">
        <v>0</v>
      </c>
      <c r="F121" s="50" t="s">
        <v>1533</v>
      </c>
      <c r="G121" s="40" t="s">
        <v>116</v>
      </c>
      <c r="H121" s="40">
        <f t="shared" si="10"/>
        <v>36</v>
      </c>
      <c r="I121" s="111" t="s">
        <v>1536</v>
      </c>
      <c r="J121" s="50"/>
    </row>
    <row r="122" spans="1:10">
      <c r="A122" s="41" t="s">
        <v>833</v>
      </c>
      <c r="B122" s="44" t="s">
        <v>1539</v>
      </c>
      <c r="C122" s="164">
        <v>7</v>
      </c>
      <c r="D122" s="113" t="s">
        <v>895</v>
      </c>
      <c r="E122" s="49">
        <v>0</v>
      </c>
      <c r="F122" s="50" t="s">
        <v>806</v>
      </c>
      <c r="G122" s="40" t="s">
        <v>114</v>
      </c>
      <c r="H122" s="40">
        <f t="shared" si="10"/>
        <v>40</v>
      </c>
      <c r="I122" s="111" t="s">
        <v>268</v>
      </c>
      <c r="J122" s="50"/>
    </row>
    <row r="123" spans="1:10" ht="371.25">
      <c r="A123" s="41" t="s">
        <v>833</v>
      </c>
      <c r="B123" s="44" t="s">
        <v>1539</v>
      </c>
      <c r="C123" s="135">
        <v>8</v>
      </c>
      <c r="D123" s="113" t="s">
        <v>718</v>
      </c>
      <c r="E123" s="49">
        <v>0</v>
      </c>
      <c r="F123" s="50" t="s">
        <v>1006</v>
      </c>
      <c r="G123" s="40" t="s">
        <v>87</v>
      </c>
      <c r="H123" s="40">
        <f t="shared" si="10"/>
        <v>52</v>
      </c>
      <c r="I123" s="111" t="s">
        <v>259</v>
      </c>
      <c r="J123" s="50"/>
    </row>
    <row r="124" spans="1:10" ht="157.5">
      <c r="A124" s="201" t="s">
        <v>833</v>
      </c>
      <c r="B124" s="355" t="s">
        <v>1538</v>
      </c>
      <c r="C124" s="353">
        <v>9</v>
      </c>
      <c r="D124" s="356" t="s">
        <v>1678</v>
      </c>
      <c r="E124" s="357" t="s">
        <v>1676</v>
      </c>
      <c r="F124" s="354" t="s">
        <v>1534</v>
      </c>
      <c r="G124" s="132" t="s">
        <v>37</v>
      </c>
      <c r="H124" s="132">
        <f t="shared" si="10"/>
        <v>70</v>
      </c>
      <c r="I124" s="203" t="s">
        <v>1677</v>
      </c>
      <c r="J124" s="50"/>
    </row>
    <row r="125" spans="1:10" ht="22.5">
      <c r="A125" s="41" t="s">
        <v>833</v>
      </c>
      <c r="B125" s="48" t="s">
        <v>1538</v>
      </c>
      <c r="C125" s="135">
        <v>10</v>
      </c>
      <c r="D125" s="113" t="s">
        <v>463</v>
      </c>
      <c r="E125" s="49">
        <v>0</v>
      </c>
      <c r="F125" s="50" t="s">
        <v>825</v>
      </c>
      <c r="G125" s="40" t="s">
        <v>126</v>
      </c>
      <c r="H125" s="40">
        <f t="shared" si="10"/>
        <v>71</v>
      </c>
      <c r="I125" s="111" t="s">
        <v>1056</v>
      </c>
      <c r="J125" s="50"/>
    </row>
    <row r="126" spans="1:10">
      <c r="A126" s="41" t="s">
        <v>833</v>
      </c>
      <c r="B126" s="48" t="s">
        <v>1538</v>
      </c>
      <c r="C126" s="164">
        <v>11</v>
      </c>
      <c r="D126" s="113" t="s">
        <v>704</v>
      </c>
      <c r="E126" s="49">
        <v>0</v>
      </c>
      <c r="F126" s="50" t="s">
        <v>825</v>
      </c>
      <c r="G126" s="40" t="s">
        <v>70</v>
      </c>
      <c r="H126" s="40">
        <f t="shared" si="10"/>
        <v>111</v>
      </c>
      <c r="I126" s="111" t="s">
        <v>236</v>
      </c>
      <c r="J126" s="50"/>
    </row>
    <row r="127" spans="1:10" ht="180">
      <c r="A127" s="41" t="s">
        <v>833</v>
      </c>
      <c r="B127" s="48" t="s">
        <v>1538</v>
      </c>
      <c r="C127" s="135">
        <v>12</v>
      </c>
      <c r="D127" s="113" t="s">
        <v>293</v>
      </c>
      <c r="E127" s="49">
        <v>0</v>
      </c>
      <c r="F127" s="50" t="s">
        <v>806</v>
      </c>
      <c r="G127" s="40" t="s">
        <v>37</v>
      </c>
      <c r="H127" s="40">
        <f t="shared" si="10"/>
        <v>129</v>
      </c>
      <c r="I127" s="96" t="s">
        <v>600</v>
      </c>
      <c r="J127" s="50"/>
    </row>
    <row r="128" spans="1:10" ht="33.75">
      <c r="A128" s="41" t="s">
        <v>833</v>
      </c>
      <c r="B128" s="48" t="s">
        <v>1538</v>
      </c>
      <c r="C128" s="164">
        <v>13</v>
      </c>
      <c r="D128" s="113" t="s">
        <v>446</v>
      </c>
      <c r="E128" s="49">
        <v>0</v>
      </c>
      <c r="F128" s="50" t="s">
        <v>825</v>
      </c>
      <c r="G128" s="40" t="s">
        <v>150</v>
      </c>
      <c r="H128" s="40">
        <f t="shared" si="10"/>
        <v>137</v>
      </c>
      <c r="I128" s="111" t="s">
        <v>685</v>
      </c>
      <c r="J128" s="50"/>
    </row>
    <row r="129" spans="1:10">
      <c r="A129" s="41" t="s">
        <v>833</v>
      </c>
      <c r="B129" s="48" t="s">
        <v>1538</v>
      </c>
      <c r="C129" s="135">
        <v>14</v>
      </c>
      <c r="D129" s="113" t="s">
        <v>363</v>
      </c>
      <c r="E129" s="49">
        <v>0</v>
      </c>
      <c r="F129" s="50" t="s">
        <v>806</v>
      </c>
      <c r="G129" s="40" t="s">
        <v>37</v>
      </c>
      <c r="H129" s="40">
        <f t="shared" si="10"/>
        <v>155</v>
      </c>
      <c r="I129" s="111"/>
      <c r="J129" s="50"/>
    </row>
    <row r="130" spans="1:10">
      <c r="A130" s="41" t="s">
        <v>833</v>
      </c>
      <c r="B130" s="48" t="s">
        <v>1538</v>
      </c>
      <c r="C130" s="164">
        <v>15</v>
      </c>
      <c r="D130" s="113" t="s">
        <v>881</v>
      </c>
      <c r="E130" s="49">
        <v>0</v>
      </c>
      <c r="F130" s="50" t="s">
        <v>825</v>
      </c>
      <c r="G130" s="40" t="s">
        <v>114</v>
      </c>
      <c r="H130" s="40">
        <f t="shared" si="10"/>
        <v>159</v>
      </c>
      <c r="I130" s="111"/>
      <c r="J130" s="50"/>
    </row>
    <row r="131" spans="1:10">
      <c r="A131" s="41" t="s">
        <v>833</v>
      </c>
      <c r="B131" s="45" t="s">
        <v>1538</v>
      </c>
      <c r="C131" s="146">
        <v>16</v>
      </c>
      <c r="D131" s="108" t="s">
        <v>39</v>
      </c>
      <c r="E131" s="39">
        <v>0</v>
      </c>
      <c r="F131" s="114" t="s">
        <v>825</v>
      </c>
      <c r="G131" s="114">
        <v>1</v>
      </c>
      <c r="H131" s="114">
        <f t="shared" si="10"/>
        <v>160</v>
      </c>
      <c r="I131" s="108" t="s">
        <v>544</v>
      </c>
      <c r="J131" s="114"/>
    </row>
    <row r="132" spans="1:10">
      <c r="A132" s="41" t="s">
        <v>858</v>
      </c>
      <c r="B132" s="44" t="s">
        <v>1537</v>
      </c>
      <c r="C132" s="18">
        <v>1</v>
      </c>
      <c r="D132" s="110" t="s">
        <v>389</v>
      </c>
      <c r="E132" s="42">
        <v>0</v>
      </c>
      <c r="F132" s="120" t="s">
        <v>825</v>
      </c>
      <c r="G132" s="40">
        <v>2</v>
      </c>
      <c r="H132" s="40">
        <v>2</v>
      </c>
      <c r="I132" s="111" t="s">
        <v>62</v>
      </c>
      <c r="J132" s="40"/>
    </row>
    <row r="133" spans="1:10">
      <c r="A133" s="41" t="s">
        <v>858</v>
      </c>
      <c r="B133" s="44" t="s">
        <v>569</v>
      </c>
      <c r="C133" s="25">
        <v>2</v>
      </c>
      <c r="D133" s="172" t="s">
        <v>736</v>
      </c>
      <c r="E133" s="40">
        <v>0</v>
      </c>
      <c r="F133" s="160" t="s">
        <v>825</v>
      </c>
      <c r="G133" s="40">
        <v>3</v>
      </c>
      <c r="H133" s="40">
        <f t="shared" ref="H133:H141" si="11">H132+G133</f>
        <v>5</v>
      </c>
      <c r="I133" s="107" t="s">
        <v>964</v>
      </c>
      <c r="J133" s="50"/>
    </row>
    <row r="134" spans="1:10">
      <c r="A134" s="41" t="s">
        <v>858</v>
      </c>
      <c r="B134" s="44" t="s">
        <v>569</v>
      </c>
      <c r="C134" s="164">
        <v>3</v>
      </c>
      <c r="D134" s="111" t="s">
        <v>943</v>
      </c>
      <c r="E134" s="49">
        <v>0</v>
      </c>
      <c r="F134" s="109" t="s">
        <v>825</v>
      </c>
      <c r="G134" s="40" t="s">
        <v>87</v>
      </c>
      <c r="H134" s="40">
        <f t="shared" si="11"/>
        <v>17</v>
      </c>
      <c r="I134" s="111" t="s">
        <v>1435</v>
      </c>
      <c r="J134" s="50"/>
    </row>
    <row r="135" spans="1:10">
      <c r="A135" s="41" t="s">
        <v>858</v>
      </c>
      <c r="B135" s="44" t="s">
        <v>569</v>
      </c>
      <c r="C135" s="25">
        <v>4</v>
      </c>
      <c r="D135" s="111" t="s">
        <v>609</v>
      </c>
      <c r="E135" s="49">
        <v>0</v>
      </c>
      <c r="F135" s="50" t="s">
        <v>806</v>
      </c>
      <c r="G135" s="40" t="s">
        <v>150</v>
      </c>
      <c r="H135" s="40">
        <f t="shared" si="11"/>
        <v>25</v>
      </c>
      <c r="I135" s="111" t="s">
        <v>232</v>
      </c>
      <c r="J135" s="50"/>
    </row>
    <row r="136" spans="1:10">
      <c r="A136" s="41" t="s">
        <v>858</v>
      </c>
      <c r="B136" s="44" t="s">
        <v>569</v>
      </c>
      <c r="C136" s="164">
        <v>5</v>
      </c>
      <c r="D136" s="111" t="s">
        <v>795</v>
      </c>
      <c r="E136" s="49">
        <v>0</v>
      </c>
      <c r="F136" s="50" t="s">
        <v>825</v>
      </c>
      <c r="G136" s="40" t="s">
        <v>150</v>
      </c>
      <c r="H136" s="40">
        <f t="shared" si="11"/>
        <v>33</v>
      </c>
      <c r="I136" s="111" t="s">
        <v>457</v>
      </c>
      <c r="J136" s="50"/>
    </row>
    <row r="137" spans="1:10">
      <c r="A137" s="41" t="s">
        <v>858</v>
      </c>
      <c r="B137" s="44" t="s">
        <v>569</v>
      </c>
      <c r="C137" s="25">
        <v>6</v>
      </c>
      <c r="D137" s="111" t="s">
        <v>403</v>
      </c>
      <c r="E137" s="49">
        <v>2</v>
      </c>
      <c r="F137" s="50" t="s">
        <v>824</v>
      </c>
      <c r="G137" s="40" t="s">
        <v>86</v>
      </c>
      <c r="H137" s="40">
        <f t="shared" si="11"/>
        <v>42</v>
      </c>
      <c r="I137" s="111" t="s">
        <v>562</v>
      </c>
      <c r="J137" s="50"/>
    </row>
    <row r="138" spans="1:10">
      <c r="A138" s="41" t="s">
        <v>858</v>
      </c>
      <c r="B138" s="44" t="s">
        <v>569</v>
      </c>
      <c r="C138" s="164">
        <v>7</v>
      </c>
      <c r="D138" s="111" t="s">
        <v>707</v>
      </c>
      <c r="E138" s="49">
        <v>0</v>
      </c>
      <c r="F138" s="50" t="s">
        <v>825</v>
      </c>
      <c r="G138" s="40" t="s">
        <v>126</v>
      </c>
      <c r="H138" s="40">
        <f t="shared" si="11"/>
        <v>43</v>
      </c>
      <c r="I138" s="111" t="s">
        <v>229</v>
      </c>
      <c r="J138" s="50"/>
    </row>
    <row r="139" spans="1:10">
      <c r="A139" s="41" t="s">
        <v>858</v>
      </c>
      <c r="B139" s="44" t="s">
        <v>569</v>
      </c>
      <c r="C139" s="25">
        <v>8</v>
      </c>
      <c r="D139" s="111" t="s">
        <v>408</v>
      </c>
      <c r="E139" s="49">
        <v>2</v>
      </c>
      <c r="F139" s="50" t="s">
        <v>824</v>
      </c>
      <c r="G139" s="40" t="s">
        <v>86</v>
      </c>
      <c r="H139" s="40">
        <f t="shared" si="11"/>
        <v>52</v>
      </c>
      <c r="I139" s="111" t="s">
        <v>562</v>
      </c>
      <c r="J139" s="50"/>
    </row>
    <row r="140" spans="1:10">
      <c r="A140" s="41" t="s">
        <v>858</v>
      </c>
      <c r="B140" s="44" t="s">
        <v>569</v>
      </c>
      <c r="C140" s="164">
        <v>9</v>
      </c>
      <c r="D140" s="111" t="s">
        <v>881</v>
      </c>
      <c r="E140" s="49">
        <v>0</v>
      </c>
      <c r="F140" s="50" t="s">
        <v>825</v>
      </c>
      <c r="G140" s="40" t="s">
        <v>108</v>
      </c>
      <c r="H140" s="40">
        <f t="shared" si="11"/>
        <v>59</v>
      </c>
      <c r="I140" s="111" t="s">
        <v>787</v>
      </c>
      <c r="J140" s="50"/>
    </row>
    <row r="141" spans="1:10">
      <c r="A141" s="41" t="s">
        <v>858</v>
      </c>
      <c r="B141" s="45" t="s">
        <v>569</v>
      </c>
      <c r="C141" s="38">
        <v>10</v>
      </c>
      <c r="D141" s="108" t="s">
        <v>39</v>
      </c>
      <c r="E141" s="39">
        <v>0</v>
      </c>
      <c r="F141" s="114" t="s">
        <v>825</v>
      </c>
      <c r="G141" s="114">
        <v>1</v>
      </c>
      <c r="H141" s="114">
        <f t="shared" si="11"/>
        <v>60</v>
      </c>
      <c r="I141" s="108" t="s">
        <v>544</v>
      </c>
      <c r="J141" s="114"/>
    </row>
    <row r="142" spans="1:10">
      <c r="A142" s="41" t="s">
        <v>880</v>
      </c>
      <c r="B142" s="44" t="s">
        <v>1201</v>
      </c>
      <c r="C142" s="42">
        <v>1</v>
      </c>
      <c r="D142" s="110" t="s">
        <v>392</v>
      </c>
      <c r="E142" s="42">
        <v>0</v>
      </c>
      <c r="F142" s="120" t="s">
        <v>825</v>
      </c>
      <c r="G142" s="40">
        <v>2</v>
      </c>
      <c r="H142" s="40">
        <v>2</v>
      </c>
      <c r="I142" s="111" t="s">
        <v>71</v>
      </c>
      <c r="J142" s="40"/>
    </row>
    <row r="143" spans="1:10">
      <c r="A143" s="41" t="s">
        <v>880</v>
      </c>
      <c r="B143" s="44" t="s">
        <v>234</v>
      </c>
      <c r="C143" s="25">
        <v>2</v>
      </c>
      <c r="D143" s="172" t="s">
        <v>702</v>
      </c>
      <c r="E143" s="40">
        <v>0</v>
      </c>
      <c r="F143" s="160" t="s">
        <v>825</v>
      </c>
      <c r="G143" s="40">
        <v>3</v>
      </c>
      <c r="H143" s="40">
        <f t="shared" ref="H143:H157" si="12">H142+G143</f>
        <v>5</v>
      </c>
      <c r="I143" s="107" t="s">
        <v>964</v>
      </c>
      <c r="J143" s="50"/>
    </row>
    <row r="144" spans="1:10">
      <c r="A144" s="41" t="s">
        <v>880</v>
      </c>
      <c r="B144" s="44" t="s">
        <v>234</v>
      </c>
      <c r="C144" s="164">
        <v>3</v>
      </c>
      <c r="D144" s="111" t="s">
        <v>943</v>
      </c>
      <c r="E144" s="49">
        <v>0</v>
      </c>
      <c r="F144" s="109" t="s">
        <v>825</v>
      </c>
      <c r="G144" s="40" t="s">
        <v>87</v>
      </c>
      <c r="H144" s="40">
        <f t="shared" si="12"/>
        <v>17</v>
      </c>
      <c r="I144" s="111" t="s">
        <v>1432</v>
      </c>
      <c r="J144" s="50"/>
    </row>
    <row r="145" spans="1:10">
      <c r="A145" s="41" t="s">
        <v>880</v>
      </c>
      <c r="B145" s="44" t="s">
        <v>234</v>
      </c>
      <c r="C145" s="135">
        <v>4</v>
      </c>
      <c r="D145" s="111" t="s">
        <v>540</v>
      </c>
      <c r="E145" s="49">
        <v>0</v>
      </c>
      <c r="F145" s="50" t="s">
        <v>806</v>
      </c>
      <c r="G145" s="40" t="s">
        <v>150</v>
      </c>
      <c r="H145" s="40">
        <f t="shared" si="12"/>
        <v>25</v>
      </c>
      <c r="I145" s="111" t="s">
        <v>244</v>
      </c>
      <c r="J145" s="50"/>
    </row>
    <row r="146" spans="1:10">
      <c r="A146" s="41" t="s">
        <v>880</v>
      </c>
      <c r="B146" s="44" t="s">
        <v>234</v>
      </c>
      <c r="C146" s="164">
        <v>5</v>
      </c>
      <c r="D146" s="111" t="s">
        <v>795</v>
      </c>
      <c r="E146" s="49">
        <v>0</v>
      </c>
      <c r="F146" s="50" t="s">
        <v>825</v>
      </c>
      <c r="G146" s="40" t="s">
        <v>150</v>
      </c>
      <c r="H146" s="40">
        <f t="shared" si="12"/>
        <v>33</v>
      </c>
      <c r="I146" s="111" t="s">
        <v>353</v>
      </c>
      <c r="J146" s="50"/>
    </row>
    <row r="147" spans="1:10" ht="56.25">
      <c r="A147" s="41" t="s">
        <v>1109</v>
      </c>
      <c r="B147" s="44" t="s">
        <v>234</v>
      </c>
      <c r="C147" s="135">
        <v>6</v>
      </c>
      <c r="D147" s="111" t="s">
        <v>1105</v>
      </c>
      <c r="E147" s="49">
        <v>0</v>
      </c>
      <c r="F147" s="50" t="s">
        <v>825</v>
      </c>
      <c r="G147" s="40" t="s">
        <v>116</v>
      </c>
      <c r="H147" s="40">
        <f t="shared" si="12"/>
        <v>36</v>
      </c>
      <c r="I147" s="96" t="s">
        <v>1536</v>
      </c>
      <c r="J147" s="50"/>
    </row>
    <row r="148" spans="1:10">
      <c r="A148" s="41" t="s">
        <v>880</v>
      </c>
      <c r="B148" s="44" t="s">
        <v>234</v>
      </c>
      <c r="C148" s="164">
        <v>7</v>
      </c>
      <c r="D148" s="111" t="s">
        <v>713</v>
      </c>
      <c r="E148" s="49">
        <v>0</v>
      </c>
      <c r="F148" s="50" t="s">
        <v>825</v>
      </c>
      <c r="G148" s="40" t="s">
        <v>36</v>
      </c>
      <c r="H148" s="40">
        <f t="shared" si="12"/>
        <v>86</v>
      </c>
      <c r="I148" s="111" t="s">
        <v>713</v>
      </c>
      <c r="J148" s="50"/>
    </row>
    <row r="149" spans="1:10">
      <c r="A149" s="41" t="s">
        <v>880</v>
      </c>
      <c r="B149" s="44" t="s">
        <v>234</v>
      </c>
      <c r="C149" s="135">
        <v>8</v>
      </c>
      <c r="D149" s="111" t="s">
        <v>714</v>
      </c>
      <c r="E149" s="49">
        <v>0</v>
      </c>
      <c r="F149" s="50" t="s">
        <v>825</v>
      </c>
      <c r="G149" s="40" t="s">
        <v>126</v>
      </c>
      <c r="H149" s="40">
        <f t="shared" si="12"/>
        <v>87</v>
      </c>
      <c r="I149" s="111" t="s">
        <v>708</v>
      </c>
      <c r="J149" s="50"/>
    </row>
    <row r="150" spans="1:10">
      <c r="A150" s="41" t="s">
        <v>880</v>
      </c>
      <c r="B150" s="44" t="s">
        <v>234</v>
      </c>
      <c r="C150" s="164">
        <v>9</v>
      </c>
      <c r="D150" s="111" t="s">
        <v>590</v>
      </c>
      <c r="E150" s="49">
        <v>0</v>
      </c>
      <c r="F150" s="50" t="s">
        <v>806</v>
      </c>
      <c r="G150" s="40" t="s">
        <v>145</v>
      </c>
      <c r="H150" s="40">
        <f t="shared" si="12"/>
        <v>102</v>
      </c>
      <c r="I150" s="111" t="s">
        <v>618</v>
      </c>
      <c r="J150" s="50"/>
    </row>
    <row r="151" spans="1:10">
      <c r="A151" s="41" t="s">
        <v>880</v>
      </c>
      <c r="B151" s="44" t="s">
        <v>234</v>
      </c>
      <c r="C151" s="135">
        <v>10</v>
      </c>
      <c r="D151" s="111" t="s">
        <v>454</v>
      </c>
      <c r="E151" s="49">
        <v>0</v>
      </c>
      <c r="F151" s="50" t="s">
        <v>806</v>
      </c>
      <c r="G151" s="40" t="s">
        <v>145</v>
      </c>
      <c r="H151" s="40">
        <f t="shared" si="12"/>
        <v>117</v>
      </c>
      <c r="I151" s="111" t="s">
        <v>618</v>
      </c>
      <c r="J151" s="50"/>
    </row>
    <row r="152" spans="1:10">
      <c r="A152" s="41" t="s">
        <v>880</v>
      </c>
      <c r="B152" s="44" t="s">
        <v>234</v>
      </c>
      <c r="C152" s="164">
        <v>11</v>
      </c>
      <c r="D152" s="111" t="s">
        <v>886</v>
      </c>
      <c r="E152" s="49">
        <v>0</v>
      </c>
      <c r="F152" s="50" t="s">
        <v>806</v>
      </c>
      <c r="G152" s="40" t="s">
        <v>145</v>
      </c>
      <c r="H152" s="40">
        <f t="shared" si="12"/>
        <v>132</v>
      </c>
      <c r="I152" s="111" t="s">
        <v>618</v>
      </c>
      <c r="J152" s="50"/>
    </row>
    <row r="153" spans="1:10">
      <c r="A153" s="41" t="s">
        <v>880</v>
      </c>
      <c r="B153" s="44" t="s">
        <v>234</v>
      </c>
      <c r="C153" s="135">
        <v>12</v>
      </c>
      <c r="D153" s="111" t="s">
        <v>396</v>
      </c>
      <c r="E153" s="49">
        <v>2</v>
      </c>
      <c r="F153" s="50" t="s">
        <v>824</v>
      </c>
      <c r="G153" s="40">
        <v>7</v>
      </c>
      <c r="H153" s="40">
        <f t="shared" si="12"/>
        <v>139</v>
      </c>
      <c r="I153" s="111" t="s">
        <v>394</v>
      </c>
      <c r="J153" s="50"/>
    </row>
    <row r="154" spans="1:10">
      <c r="A154" s="41" t="s">
        <v>880</v>
      </c>
      <c r="B154" s="44" t="s">
        <v>234</v>
      </c>
      <c r="C154" s="164">
        <v>13</v>
      </c>
      <c r="D154" s="111" t="s">
        <v>733</v>
      </c>
      <c r="E154" s="49">
        <v>0</v>
      </c>
      <c r="F154" s="50" t="s">
        <v>806</v>
      </c>
      <c r="G154" s="40">
        <v>15</v>
      </c>
      <c r="H154" s="40">
        <f t="shared" si="12"/>
        <v>154</v>
      </c>
      <c r="I154" s="111" t="s">
        <v>788</v>
      </c>
      <c r="J154" s="50"/>
    </row>
    <row r="155" spans="1:10">
      <c r="A155" s="41" t="s">
        <v>880</v>
      </c>
      <c r="B155" s="44" t="s">
        <v>234</v>
      </c>
      <c r="C155" s="135">
        <v>14</v>
      </c>
      <c r="D155" s="111" t="s">
        <v>893</v>
      </c>
      <c r="E155" s="49">
        <v>2</v>
      </c>
      <c r="F155" s="50" t="s">
        <v>824</v>
      </c>
      <c r="G155" s="40">
        <v>7</v>
      </c>
      <c r="H155" s="40">
        <f t="shared" si="12"/>
        <v>161</v>
      </c>
      <c r="I155" s="111" t="s">
        <v>394</v>
      </c>
      <c r="J155" s="50"/>
    </row>
    <row r="156" spans="1:10">
      <c r="A156" s="41" t="s">
        <v>880</v>
      </c>
      <c r="B156" s="44" t="s">
        <v>234</v>
      </c>
      <c r="C156" s="164">
        <v>15</v>
      </c>
      <c r="D156" s="111" t="s">
        <v>881</v>
      </c>
      <c r="E156" s="49">
        <v>0</v>
      </c>
      <c r="F156" s="50" t="s">
        <v>825</v>
      </c>
      <c r="G156" s="40">
        <v>38</v>
      </c>
      <c r="H156" s="40">
        <f t="shared" si="12"/>
        <v>199</v>
      </c>
      <c r="I156" s="111" t="s">
        <v>787</v>
      </c>
      <c r="J156" s="50"/>
    </row>
    <row r="157" spans="1:10">
      <c r="A157" s="41" t="s">
        <v>880</v>
      </c>
      <c r="B157" s="45" t="s">
        <v>234</v>
      </c>
      <c r="C157" s="146">
        <v>16</v>
      </c>
      <c r="D157" s="108" t="s">
        <v>39</v>
      </c>
      <c r="E157" s="39">
        <v>0</v>
      </c>
      <c r="F157" s="114" t="s">
        <v>825</v>
      </c>
      <c r="G157" s="114">
        <v>1</v>
      </c>
      <c r="H157" s="114">
        <f t="shared" si="12"/>
        <v>200</v>
      </c>
      <c r="I157" s="108" t="s">
        <v>544</v>
      </c>
      <c r="J157" s="114"/>
    </row>
    <row r="158" spans="1:10">
      <c r="A158" s="41" t="s">
        <v>869</v>
      </c>
      <c r="B158" s="44" t="s">
        <v>296</v>
      </c>
      <c r="C158" s="42">
        <v>1</v>
      </c>
      <c r="D158" s="110" t="s">
        <v>392</v>
      </c>
      <c r="E158" s="42">
        <v>0</v>
      </c>
      <c r="F158" s="120" t="s">
        <v>825</v>
      </c>
      <c r="G158" s="40">
        <v>2</v>
      </c>
      <c r="H158" s="40">
        <v>2</v>
      </c>
      <c r="I158" s="111" t="s">
        <v>64</v>
      </c>
      <c r="J158" s="40"/>
    </row>
    <row r="159" spans="1:10">
      <c r="A159" s="41" t="s">
        <v>869</v>
      </c>
      <c r="B159" s="44" t="s">
        <v>296</v>
      </c>
      <c r="C159" s="25">
        <v>2</v>
      </c>
      <c r="D159" s="172" t="s">
        <v>702</v>
      </c>
      <c r="E159" s="40">
        <v>0</v>
      </c>
      <c r="F159" s="160" t="s">
        <v>825</v>
      </c>
      <c r="G159" s="40">
        <v>3</v>
      </c>
      <c r="H159" s="40">
        <f t="shared" ref="H159:H169" si="13">H158+G159</f>
        <v>5</v>
      </c>
      <c r="I159" s="107" t="s">
        <v>964</v>
      </c>
      <c r="J159" s="50"/>
    </row>
    <row r="160" spans="1:10">
      <c r="A160" s="41" t="s">
        <v>869</v>
      </c>
      <c r="B160" s="44" t="s">
        <v>296</v>
      </c>
      <c r="C160" s="164">
        <v>3</v>
      </c>
      <c r="D160" s="113" t="s">
        <v>943</v>
      </c>
      <c r="E160" s="49">
        <v>0</v>
      </c>
      <c r="F160" s="160" t="s">
        <v>825</v>
      </c>
      <c r="G160" s="40">
        <v>12</v>
      </c>
      <c r="H160" s="40">
        <f t="shared" si="13"/>
        <v>17</v>
      </c>
      <c r="I160" s="111" t="s">
        <v>1432</v>
      </c>
      <c r="J160" s="50"/>
    </row>
    <row r="161" spans="1:10">
      <c r="A161" s="41" t="s">
        <v>869</v>
      </c>
      <c r="B161" s="44" t="s">
        <v>296</v>
      </c>
      <c r="C161" s="135">
        <v>4</v>
      </c>
      <c r="D161" s="111" t="s">
        <v>540</v>
      </c>
      <c r="E161" s="49">
        <v>0</v>
      </c>
      <c r="F161" s="109" t="s">
        <v>806</v>
      </c>
      <c r="G161" s="40">
        <v>8</v>
      </c>
      <c r="H161" s="40">
        <f t="shared" si="13"/>
        <v>25</v>
      </c>
      <c r="I161" s="111" t="s">
        <v>244</v>
      </c>
      <c r="J161" s="50"/>
    </row>
    <row r="162" spans="1:10">
      <c r="A162" s="41" t="s">
        <v>869</v>
      </c>
      <c r="B162" s="44" t="s">
        <v>296</v>
      </c>
      <c r="C162" s="164">
        <v>5</v>
      </c>
      <c r="D162" s="111" t="s">
        <v>795</v>
      </c>
      <c r="E162" s="49">
        <v>0</v>
      </c>
      <c r="F162" s="50" t="s">
        <v>825</v>
      </c>
      <c r="G162" s="40">
        <v>8</v>
      </c>
      <c r="H162" s="40">
        <f t="shared" si="13"/>
        <v>33</v>
      </c>
      <c r="I162" s="111" t="s">
        <v>353</v>
      </c>
      <c r="J162" s="50"/>
    </row>
    <row r="163" spans="1:10" ht="56.25">
      <c r="A163" s="41" t="s">
        <v>1153</v>
      </c>
      <c r="B163" s="44" t="s">
        <v>296</v>
      </c>
      <c r="C163" s="135">
        <v>6</v>
      </c>
      <c r="D163" s="111" t="s">
        <v>1105</v>
      </c>
      <c r="E163" s="49">
        <v>0</v>
      </c>
      <c r="F163" s="50" t="s">
        <v>825</v>
      </c>
      <c r="G163" s="40">
        <v>3</v>
      </c>
      <c r="H163" s="40">
        <f t="shared" si="13"/>
        <v>36</v>
      </c>
      <c r="I163" s="96" t="s">
        <v>1536</v>
      </c>
      <c r="J163" s="50"/>
    </row>
    <row r="164" spans="1:10">
      <c r="A164" s="41" t="s">
        <v>869</v>
      </c>
      <c r="B164" s="44" t="s">
        <v>296</v>
      </c>
      <c r="C164" s="164">
        <v>7</v>
      </c>
      <c r="D164" s="111" t="s">
        <v>464</v>
      </c>
      <c r="E164" s="49">
        <v>0</v>
      </c>
      <c r="F164" s="109" t="s">
        <v>806</v>
      </c>
      <c r="G164" s="40">
        <v>4</v>
      </c>
      <c r="H164" s="40">
        <f t="shared" si="13"/>
        <v>40</v>
      </c>
      <c r="I164" s="111" t="s">
        <v>311</v>
      </c>
      <c r="J164" s="50"/>
    </row>
    <row r="165" spans="1:10" ht="22.5">
      <c r="A165" s="41" t="s">
        <v>869</v>
      </c>
      <c r="B165" s="44" t="s">
        <v>296</v>
      </c>
      <c r="C165" s="135">
        <v>8</v>
      </c>
      <c r="D165" s="111" t="s">
        <v>450</v>
      </c>
      <c r="E165" s="49">
        <v>0</v>
      </c>
      <c r="F165" s="50" t="s">
        <v>825</v>
      </c>
      <c r="G165" s="40">
        <v>12</v>
      </c>
      <c r="H165" s="40">
        <f t="shared" si="13"/>
        <v>52</v>
      </c>
      <c r="I165" s="111" t="s">
        <v>226</v>
      </c>
      <c r="J165" s="50"/>
    </row>
    <row r="166" spans="1:10">
      <c r="A166" s="41" t="s">
        <v>869</v>
      </c>
      <c r="B166" s="44" t="s">
        <v>296</v>
      </c>
      <c r="C166" s="164">
        <v>9</v>
      </c>
      <c r="D166" s="111" t="s">
        <v>460</v>
      </c>
      <c r="E166" s="49">
        <v>0</v>
      </c>
      <c r="F166" s="50" t="s">
        <v>825</v>
      </c>
      <c r="G166" s="40">
        <v>80</v>
      </c>
      <c r="H166" s="40">
        <f t="shared" si="13"/>
        <v>132</v>
      </c>
      <c r="I166" s="111" t="s">
        <v>711</v>
      </c>
      <c r="J166" s="50"/>
    </row>
    <row r="167" spans="1:10" ht="22.5">
      <c r="A167" s="41" t="s">
        <v>869</v>
      </c>
      <c r="B167" s="44" t="s">
        <v>296</v>
      </c>
      <c r="C167" s="135">
        <v>10</v>
      </c>
      <c r="D167" s="111" t="s">
        <v>552</v>
      </c>
      <c r="E167" s="49">
        <v>2</v>
      </c>
      <c r="F167" s="50" t="s">
        <v>824</v>
      </c>
      <c r="G167" s="40">
        <v>7</v>
      </c>
      <c r="H167" s="40">
        <f t="shared" si="13"/>
        <v>139</v>
      </c>
      <c r="I167" s="111" t="s">
        <v>1436</v>
      </c>
      <c r="J167" s="50"/>
    </row>
    <row r="168" spans="1:10">
      <c r="A168" s="41" t="s">
        <v>869</v>
      </c>
      <c r="B168" s="44" t="s">
        <v>296</v>
      </c>
      <c r="C168" s="164">
        <v>11</v>
      </c>
      <c r="D168" s="111" t="s">
        <v>881</v>
      </c>
      <c r="E168" s="49">
        <v>0</v>
      </c>
      <c r="F168" s="50" t="s">
        <v>825</v>
      </c>
      <c r="G168" s="40">
        <v>60</v>
      </c>
      <c r="H168" s="40">
        <f t="shared" si="13"/>
        <v>199</v>
      </c>
      <c r="I168" s="111" t="s">
        <v>787</v>
      </c>
      <c r="J168" s="50"/>
    </row>
    <row r="169" spans="1:10">
      <c r="A169" s="41" t="s">
        <v>869</v>
      </c>
      <c r="B169" s="45" t="s">
        <v>296</v>
      </c>
      <c r="C169" s="146">
        <v>12</v>
      </c>
      <c r="D169" s="108" t="s">
        <v>39</v>
      </c>
      <c r="E169" s="39">
        <v>0</v>
      </c>
      <c r="F169" s="114" t="s">
        <v>825</v>
      </c>
      <c r="G169" s="114">
        <v>1</v>
      </c>
      <c r="H169" s="114">
        <f t="shared" si="13"/>
        <v>200</v>
      </c>
      <c r="I169" s="108" t="s">
        <v>544</v>
      </c>
      <c r="J169" s="114"/>
    </row>
    <row r="170" spans="1:10">
      <c r="A170" s="41" t="s">
        <v>868</v>
      </c>
      <c r="B170" s="44" t="s">
        <v>273</v>
      </c>
      <c r="C170" s="42">
        <v>1</v>
      </c>
      <c r="D170" s="110" t="s">
        <v>381</v>
      </c>
      <c r="E170" s="42">
        <v>0</v>
      </c>
      <c r="F170" s="120" t="s">
        <v>825</v>
      </c>
      <c r="G170" s="40">
        <v>2</v>
      </c>
      <c r="H170" s="40">
        <v>2</v>
      </c>
      <c r="I170" s="111" t="s">
        <v>57</v>
      </c>
      <c r="J170" s="40"/>
    </row>
    <row r="171" spans="1:10">
      <c r="A171" s="41" t="s">
        <v>868</v>
      </c>
      <c r="B171" s="44" t="s">
        <v>273</v>
      </c>
      <c r="C171" s="25">
        <v>2</v>
      </c>
      <c r="D171" s="172" t="s">
        <v>706</v>
      </c>
      <c r="E171" s="40">
        <v>0</v>
      </c>
      <c r="F171" s="160" t="s">
        <v>825</v>
      </c>
      <c r="G171" s="40">
        <v>3</v>
      </c>
      <c r="H171" s="40">
        <f t="shared" ref="H171:H185" si="14">H170+G171</f>
        <v>5</v>
      </c>
      <c r="I171" s="107" t="s">
        <v>965</v>
      </c>
      <c r="J171" s="50"/>
    </row>
    <row r="172" spans="1:10">
      <c r="A172" s="41" t="s">
        <v>868</v>
      </c>
      <c r="B172" s="44" t="s">
        <v>273</v>
      </c>
      <c r="C172" s="164">
        <v>3</v>
      </c>
      <c r="D172" s="113" t="s">
        <v>943</v>
      </c>
      <c r="E172" s="49">
        <v>0</v>
      </c>
      <c r="F172" s="160" t="s">
        <v>825</v>
      </c>
      <c r="G172" s="40">
        <v>12</v>
      </c>
      <c r="H172" s="40">
        <f t="shared" si="14"/>
        <v>17</v>
      </c>
      <c r="I172" s="111" t="s">
        <v>1433</v>
      </c>
      <c r="J172" s="50"/>
    </row>
    <row r="173" spans="1:10">
      <c r="A173" s="41" t="s">
        <v>868</v>
      </c>
      <c r="B173" s="48" t="s">
        <v>273</v>
      </c>
      <c r="C173" s="135">
        <v>4</v>
      </c>
      <c r="D173" s="113" t="s">
        <v>614</v>
      </c>
      <c r="E173" s="49">
        <v>0</v>
      </c>
      <c r="F173" s="109" t="s">
        <v>806</v>
      </c>
      <c r="G173" s="40">
        <v>8</v>
      </c>
      <c r="H173" s="40">
        <f t="shared" si="14"/>
        <v>25</v>
      </c>
      <c r="I173" s="111" t="s">
        <v>184</v>
      </c>
      <c r="J173" s="50"/>
    </row>
    <row r="174" spans="1:10">
      <c r="A174" s="41" t="s">
        <v>868</v>
      </c>
      <c r="B174" s="48" t="s">
        <v>273</v>
      </c>
      <c r="C174" s="164">
        <v>5</v>
      </c>
      <c r="D174" s="113" t="s">
        <v>560</v>
      </c>
      <c r="E174" s="49">
        <v>2</v>
      </c>
      <c r="F174" s="109" t="s">
        <v>824</v>
      </c>
      <c r="G174" s="40">
        <v>9</v>
      </c>
      <c r="H174" s="40">
        <f t="shared" si="14"/>
        <v>34</v>
      </c>
      <c r="I174" s="111" t="s">
        <v>228</v>
      </c>
      <c r="J174" s="50"/>
    </row>
    <row r="175" spans="1:10">
      <c r="A175" s="41" t="s">
        <v>868</v>
      </c>
      <c r="B175" s="48" t="s">
        <v>273</v>
      </c>
      <c r="C175" s="135">
        <v>6</v>
      </c>
      <c r="D175" s="113" t="s">
        <v>892</v>
      </c>
      <c r="E175" s="49">
        <v>0</v>
      </c>
      <c r="F175" s="109" t="s">
        <v>806</v>
      </c>
      <c r="G175" s="40">
        <v>15</v>
      </c>
      <c r="H175" s="40">
        <f t="shared" si="14"/>
        <v>49</v>
      </c>
      <c r="I175" s="111" t="s">
        <v>144</v>
      </c>
      <c r="J175" s="50"/>
    </row>
    <row r="176" spans="1:10">
      <c r="A176" s="41" t="s">
        <v>868</v>
      </c>
      <c r="B176" s="48" t="s">
        <v>273</v>
      </c>
      <c r="C176" s="164">
        <v>7</v>
      </c>
      <c r="D176" s="113" t="s">
        <v>331</v>
      </c>
      <c r="E176" s="49">
        <v>2</v>
      </c>
      <c r="F176" s="109" t="s">
        <v>824</v>
      </c>
      <c r="G176" s="40">
        <v>9</v>
      </c>
      <c r="H176" s="40">
        <f t="shared" si="14"/>
        <v>58</v>
      </c>
      <c r="I176" s="111" t="s">
        <v>624</v>
      </c>
      <c r="J176" s="50"/>
    </row>
    <row r="177" spans="1:10" ht="22.5">
      <c r="A177" s="41" t="s">
        <v>868</v>
      </c>
      <c r="B177" s="48" t="s">
        <v>273</v>
      </c>
      <c r="C177" s="135">
        <v>8</v>
      </c>
      <c r="D177" s="113" t="s">
        <v>291</v>
      </c>
      <c r="E177" s="49">
        <v>2</v>
      </c>
      <c r="F177" s="109" t="s">
        <v>824</v>
      </c>
      <c r="G177" s="40">
        <v>9</v>
      </c>
      <c r="H177" s="40">
        <f t="shared" si="14"/>
        <v>67</v>
      </c>
      <c r="I177" s="111" t="s">
        <v>624</v>
      </c>
      <c r="J177" s="50"/>
    </row>
    <row r="178" spans="1:10">
      <c r="A178" s="41" t="s">
        <v>868</v>
      </c>
      <c r="B178" s="48" t="s">
        <v>273</v>
      </c>
      <c r="C178" s="164">
        <v>9</v>
      </c>
      <c r="D178" s="113" t="s">
        <v>189</v>
      </c>
      <c r="E178" s="49">
        <v>2</v>
      </c>
      <c r="F178" s="109" t="s">
        <v>824</v>
      </c>
      <c r="G178" s="40">
        <v>12</v>
      </c>
      <c r="H178" s="40">
        <f t="shared" si="14"/>
        <v>79</v>
      </c>
      <c r="I178" s="111" t="s">
        <v>358</v>
      </c>
      <c r="J178" s="50"/>
    </row>
    <row r="179" spans="1:10" ht="22.5">
      <c r="A179" s="41" t="s">
        <v>868</v>
      </c>
      <c r="B179" s="48" t="s">
        <v>273</v>
      </c>
      <c r="C179" s="135">
        <v>10</v>
      </c>
      <c r="D179" s="113" t="s">
        <v>224</v>
      </c>
      <c r="E179" s="49">
        <v>2</v>
      </c>
      <c r="F179" s="109" t="s">
        <v>824</v>
      </c>
      <c r="G179" s="40">
        <v>9</v>
      </c>
      <c r="H179" s="40">
        <f t="shared" si="14"/>
        <v>88</v>
      </c>
      <c r="I179" s="111" t="s">
        <v>624</v>
      </c>
      <c r="J179" s="50"/>
    </row>
    <row r="180" spans="1:10" ht="22.5">
      <c r="A180" s="41" t="s">
        <v>868</v>
      </c>
      <c r="B180" s="48" t="s">
        <v>273</v>
      </c>
      <c r="C180" s="164">
        <v>11</v>
      </c>
      <c r="D180" s="113" t="s">
        <v>719</v>
      </c>
      <c r="E180" s="49">
        <v>0</v>
      </c>
      <c r="F180" s="50" t="s">
        <v>825</v>
      </c>
      <c r="G180" s="40">
        <v>2</v>
      </c>
      <c r="H180" s="40">
        <f t="shared" si="14"/>
        <v>90</v>
      </c>
      <c r="I180" s="111" t="s">
        <v>319</v>
      </c>
      <c r="J180" s="50"/>
    </row>
    <row r="181" spans="1:10">
      <c r="A181" s="41" t="s">
        <v>868</v>
      </c>
      <c r="B181" s="48" t="s">
        <v>273</v>
      </c>
      <c r="C181" s="135">
        <v>12</v>
      </c>
      <c r="D181" s="113" t="s">
        <v>883</v>
      </c>
      <c r="E181" s="49">
        <v>0</v>
      </c>
      <c r="F181" s="109" t="s">
        <v>806</v>
      </c>
      <c r="G181" s="40">
        <v>10</v>
      </c>
      <c r="H181" s="40">
        <f t="shared" si="14"/>
        <v>100</v>
      </c>
      <c r="I181" s="111" t="s">
        <v>613</v>
      </c>
      <c r="J181" s="50"/>
    </row>
    <row r="182" spans="1:10">
      <c r="A182" s="41" t="s">
        <v>868</v>
      </c>
      <c r="B182" s="48" t="s">
        <v>273</v>
      </c>
      <c r="C182" s="164">
        <v>13</v>
      </c>
      <c r="D182" s="113" t="s">
        <v>739</v>
      </c>
      <c r="E182" s="49">
        <v>8</v>
      </c>
      <c r="F182" s="109" t="s">
        <v>824</v>
      </c>
      <c r="G182" s="40">
        <v>10</v>
      </c>
      <c r="H182" s="40">
        <f t="shared" si="14"/>
        <v>110</v>
      </c>
      <c r="I182" s="111" t="s">
        <v>586</v>
      </c>
      <c r="J182" s="50"/>
    </row>
    <row r="183" spans="1:10">
      <c r="A183" s="41" t="s">
        <v>868</v>
      </c>
      <c r="B183" s="48" t="s">
        <v>273</v>
      </c>
      <c r="C183" s="135">
        <v>14</v>
      </c>
      <c r="D183" s="113" t="s">
        <v>615</v>
      </c>
      <c r="E183" s="49">
        <v>2</v>
      </c>
      <c r="F183" s="109" t="s">
        <v>824</v>
      </c>
      <c r="G183" s="40">
        <v>9</v>
      </c>
      <c r="H183" s="40">
        <f t="shared" si="14"/>
        <v>119</v>
      </c>
      <c r="I183" s="111" t="s">
        <v>896</v>
      </c>
      <c r="J183" s="50"/>
    </row>
    <row r="184" spans="1:10">
      <c r="A184" s="41" t="s">
        <v>868</v>
      </c>
      <c r="B184" s="48" t="s">
        <v>273</v>
      </c>
      <c r="C184" s="164">
        <v>15</v>
      </c>
      <c r="D184" s="113" t="s">
        <v>881</v>
      </c>
      <c r="E184" s="49">
        <v>0</v>
      </c>
      <c r="F184" s="50" t="s">
        <v>825</v>
      </c>
      <c r="G184" s="40">
        <v>10</v>
      </c>
      <c r="H184" s="40">
        <f t="shared" si="14"/>
        <v>129</v>
      </c>
      <c r="I184" s="111" t="s">
        <v>787</v>
      </c>
      <c r="J184" s="50"/>
    </row>
    <row r="185" spans="1:10">
      <c r="A185" s="41" t="s">
        <v>868</v>
      </c>
      <c r="B185" s="45" t="s">
        <v>273</v>
      </c>
      <c r="C185" s="146">
        <v>16</v>
      </c>
      <c r="D185" s="108" t="s">
        <v>39</v>
      </c>
      <c r="E185" s="39">
        <v>0</v>
      </c>
      <c r="F185" s="114" t="s">
        <v>825</v>
      </c>
      <c r="G185" s="114">
        <v>1</v>
      </c>
      <c r="H185" s="114">
        <f t="shared" si="14"/>
        <v>130</v>
      </c>
      <c r="I185" s="108" t="s">
        <v>548</v>
      </c>
      <c r="J185" s="114"/>
    </row>
    <row r="186" spans="1:10">
      <c r="A186" s="41" t="s">
        <v>847</v>
      </c>
      <c r="B186" s="44" t="s">
        <v>1167</v>
      </c>
      <c r="C186" s="42">
        <v>1</v>
      </c>
      <c r="D186" s="110" t="s">
        <v>381</v>
      </c>
      <c r="E186" s="42">
        <v>0</v>
      </c>
      <c r="F186" s="120" t="s">
        <v>825</v>
      </c>
      <c r="G186" s="40">
        <v>2</v>
      </c>
      <c r="H186" s="40">
        <v>2</v>
      </c>
      <c r="I186" s="111" t="s">
        <v>65</v>
      </c>
      <c r="J186" s="40"/>
    </row>
    <row r="187" spans="1:10">
      <c r="A187" s="41" t="s">
        <v>847</v>
      </c>
      <c r="B187" s="44" t="s">
        <v>332</v>
      </c>
      <c r="C187" s="25">
        <v>2</v>
      </c>
      <c r="D187" s="172" t="s">
        <v>706</v>
      </c>
      <c r="E187" s="40">
        <v>0</v>
      </c>
      <c r="F187" s="160" t="s">
        <v>825</v>
      </c>
      <c r="G187" s="40">
        <v>3</v>
      </c>
      <c r="H187" s="40">
        <f t="shared" ref="H187:H197" si="15">H186+G187</f>
        <v>5</v>
      </c>
      <c r="I187" s="107" t="s">
        <v>965</v>
      </c>
      <c r="J187" s="50"/>
    </row>
    <row r="188" spans="1:10">
      <c r="A188" s="41" t="s">
        <v>847</v>
      </c>
      <c r="B188" s="44" t="s">
        <v>332</v>
      </c>
      <c r="C188" s="164">
        <v>3</v>
      </c>
      <c r="D188" s="111" t="s">
        <v>837</v>
      </c>
      <c r="E188" s="49">
        <v>0</v>
      </c>
      <c r="F188" s="160" t="s">
        <v>825</v>
      </c>
      <c r="G188" s="40" t="s">
        <v>87</v>
      </c>
      <c r="H188" s="40">
        <f t="shared" si="15"/>
        <v>17</v>
      </c>
      <c r="I188" s="111" t="s">
        <v>1437</v>
      </c>
      <c r="J188" s="50"/>
    </row>
    <row r="189" spans="1:10">
      <c r="A189" s="41" t="s">
        <v>847</v>
      </c>
      <c r="B189" s="44" t="s">
        <v>332</v>
      </c>
      <c r="C189" s="135">
        <v>4</v>
      </c>
      <c r="D189" s="111" t="s">
        <v>407</v>
      </c>
      <c r="E189" s="49">
        <v>0</v>
      </c>
      <c r="F189" s="109" t="s">
        <v>806</v>
      </c>
      <c r="G189" s="40">
        <v>8</v>
      </c>
      <c r="H189" s="40">
        <f t="shared" si="15"/>
        <v>25</v>
      </c>
      <c r="I189" s="111" t="s">
        <v>184</v>
      </c>
      <c r="J189" s="50"/>
    </row>
    <row r="190" spans="1:10">
      <c r="A190" s="41" t="s">
        <v>847</v>
      </c>
      <c r="B190" s="44" t="s">
        <v>332</v>
      </c>
      <c r="C190" s="164">
        <v>5</v>
      </c>
      <c r="D190" s="111" t="s">
        <v>795</v>
      </c>
      <c r="E190" s="49">
        <v>0</v>
      </c>
      <c r="F190" s="109" t="s">
        <v>825</v>
      </c>
      <c r="G190" s="40">
        <v>8</v>
      </c>
      <c r="H190" s="40">
        <f t="shared" si="15"/>
        <v>33</v>
      </c>
      <c r="I190" s="111" t="s">
        <v>353</v>
      </c>
      <c r="J190" s="50"/>
    </row>
    <row r="191" spans="1:10" ht="22.5">
      <c r="A191" s="41" t="s">
        <v>1106</v>
      </c>
      <c r="B191" s="44" t="s">
        <v>1167</v>
      </c>
      <c r="C191" s="135">
        <v>6</v>
      </c>
      <c r="D191" s="111" t="s">
        <v>1105</v>
      </c>
      <c r="E191" s="49">
        <v>0</v>
      </c>
      <c r="F191" s="160" t="s">
        <v>825</v>
      </c>
      <c r="G191" s="40">
        <v>3</v>
      </c>
      <c r="H191" s="40">
        <f t="shared" si="15"/>
        <v>36</v>
      </c>
      <c r="I191" s="96" t="s">
        <v>1509</v>
      </c>
      <c r="J191" s="50"/>
    </row>
    <row r="192" spans="1:10">
      <c r="A192" s="41" t="s">
        <v>847</v>
      </c>
      <c r="B192" s="44" t="s">
        <v>332</v>
      </c>
      <c r="C192" s="164">
        <v>7</v>
      </c>
      <c r="D192" s="111" t="s">
        <v>318</v>
      </c>
      <c r="E192" s="49">
        <v>0</v>
      </c>
      <c r="F192" s="109" t="s">
        <v>806</v>
      </c>
      <c r="G192" s="40">
        <v>4</v>
      </c>
      <c r="H192" s="40">
        <f t="shared" si="15"/>
        <v>40</v>
      </c>
      <c r="I192" s="111" t="s">
        <v>899</v>
      </c>
      <c r="J192" s="50"/>
    </row>
    <row r="193" spans="1:10" ht="22.5">
      <c r="A193" s="41" t="s">
        <v>847</v>
      </c>
      <c r="B193" s="44" t="s">
        <v>332</v>
      </c>
      <c r="C193" s="135">
        <v>8</v>
      </c>
      <c r="D193" s="111" t="s">
        <v>459</v>
      </c>
      <c r="E193" s="49">
        <v>0</v>
      </c>
      <c r="F193" s="109" t="s">
        <v>825</v>
      </c>
      <c r="G193" s="40">
        <v>12</v>
      </c>
      <c r="H193" s="40">
        <f t="shared" si="15"/>
        <v>52</v>
      </c>
      <c r="I193" s="111" t="s">
        <v>231</v>
      </c>
      <c r="J193" s="50"/>
    </row>
    <row r="194" spans="1:10">
      <c r="A194" s="41" t="s">
        <v>847</v>
      </c>
      <c r="B194" s="44" t="s">
        <v>332</v>
      </c>
      <c r="C194" s="164">
        <v>9</v>
      </c>
      <c r="D194" s="111" t="s">
        <v>305</v>
      </c>
      <c r="E194" s="49">
        <v>0</v>
      </c>
      <c r="F194" s="109" t="s">
        <v>825</v>
      </c>
      <c r="G194" s="40">
        <v>80</v>
      </c>
      <c r="H194" s="40">
        <f t="shared" si="15"/>
        <v>132</v>
      </c>
      <c r="I194" s="111" t="s">
        <v>616</v>
      </c>
      <c r="J194" s="50"/>
    </row>
    <row r="195" spans="1:10" ht="22.5">
      <c r="A195" s="41" t="s">
        <v>847</v>
      </c>
      <c r="B195" s="44" t="s">
        <v>332</v>
      </c>
      <c r="C195" s="135">
        <v>10</v>
      </c>
      <c r="D195" s="111" t="s">
        <v>572</v>
      </c>
      <c r="E195" s="49">
        <v>2</v>
      </c>
      <c r="F195" s="109" t="s">
        <v>824</v>
      </c>
      <c r="G195" s="40">
        <v>7</v>
      </c>
      <c r="H195" s="40">
        <f t="shared" si="15"/>
        <v>139</v>
      </c>
      <c r="I195" s="111" t="s">
        <v>201</v>
      </c>
      <c r="J195" s="50"/>
    </row>
    <row r="196" spans="1:10">
      <c r="A196" s="41" t="s">
        <v>847</v>
      </c>
      <c r="B196" s="44" t="s">
        <v>332</v>
      </c>
      <c r="C196" s="164">
        <v>11</v>
      </c>
      <c r="D196" s="111" t="s">
        <v>881</v>
      </c>
      <c r="E196" s="49">
        <v>0</v>
      </c>
      <c r="F196" s="109" t="s">
        <v>825</v>
      </c>
      <c r="G196" s="40">
        <v>60</v>
      </c>
      <c r="H196" s="40">
        <f t="shared" si="15"/>
        <v>199</v>
      </c>
      <c r="I196" s="111" t="s">
        <v>787</v>
      </c>
      <c r="J196" s="50"/>
    </row>
    <row r="197" spans="1:10">
      <c r="A197" s="41" t="s">
        <v>847</v>
      </c>
      <c r="B197" s="45" t="s">
        <v>332</v>
      </c>
      <c r="C197" s="146">
        <v>12</v>
      </c>
      <c r="D197" s="108" t="s">
        <v>39</v>
      </c>
      <c r="E197" s="39">
        <v>0</v>
      </c>
      <c r="F197" s="121" t="s">
        <v>825</v>
      </c>
      <c r="G197" s="114">
        <v>1</v>
      </c>
      <c r="H197" s="114">
        <f t="shared" si="15"/>
        <v>200</v>
      </c>
      <c r="I197" s="108" t="s">
        <v>548</v>
      </c>
      <c r="J197" s="114"/>
    </row>
    <row r="198" spans="1:10">
      <c r="A198" s="41" t="s">
        <v>864</v>
      </c>
      <c r="B198" s="44" t="s">
        <v>542</v>
      </c>
      <c r="C198" s="42">
        <v>1</v>
      </c>
      <c r="D198" s="110" t="s">
        <v>389</v>
      </c>
      <c r="E198" s="42">
        <v>0</v>
      </c>
      <c r="F198" s="120" t="s">
        <v>825</v>
      </c>
      <c r="G198" s="40">
        <v>2</v>
      </c>
      <c r="H198" s="40">
        <v>2</v>
      </c>
      <c r="I198" s="111" t="s">
        <v>58</v>
      </c>
      <c r="J198" s="40"/>
    </row>
    <row r="199" spans="1:10">
      <c r="A199" s="41" t="s">
        <v>864</v>
      </c>
      <c r="B199" s="44" t="s">
        <v>542</v>
      </c>
      <c r="C199" s="25">
        <v>2</v>
      </c>
      <c r="D199" s="172" t="s">
        <v>706</v>
      </c>
      <c r="E199" s="40">
        <v>0</v>
      </c>
      <c r="F199" s="160" t="s">
        <v>825</v>
      </c>
      <c r="G199" s="40">
        <v>3</v>
      </c>
      <c r="H199" s="40">
        <f t="shared" ref="H199:H206" si="16">H198+G199</f>
        <v>5</v>
      </c>
      <c r="I199" s="107" t="s">
        <v>965</v>
      </c>
      <c r="J199" s="50"/>
    </row>
    <row r="200" spans="1:10">
      <c r="A200" s="41" t="s">
        <v>864</v>
      </c>
      <c r="B200" s="44" t="s">
        <v>542</v>
      </c>
      <c r="C200" s="164">
        <v>3</v>
      </c>
      <c r="D200" s="111" t="s">
        <v>837</v>
      </c>
      <c r="E200" s="49">
        <v>0</v>
      </c>
      <c r="F200" s="160" t="s">
        <v>825</v>
      </c>
      <c r="G200" s="40">
        <v>12</v>
      </c>
      <c r="H200" s="40">
        <f t="shared" si="16"/>
        <v>17</v>
      </c>
      <c r="I200" s="111" t="s">
        <v>1438</v>
      </c>
      <c r="J200" s="50"/>
    </row>
    <row r="201" spans="1:10">
      <c r="A201" s="41" t="s">
        <v>864</v>
      </c>
      <c r="B201" s="44" t="s">
        <v>542</v>
      </c>
      <c r="C201" s="135">
        <v>4</v>
      </c>
      <c r="D201" s="111" t="s">
        <v>609</v>
      </c>
      <c r="E201" s="49">
        <v>0</v>
      </c>
      <c r="F201" s="109" t="s">
        <v>806</v>
      </c>
      <c r="G201" s="40">
        <v>8</v>
      </c>
      <c r="H201" s="40">
        <f t="shared" si="16"/>
        <v>25</v>
      </c>
      <c r="I201" s="111" t="s">
        <v>232</v>
      </c>
      <c r="J201" s="50"/>
    </row>
    <row r="202" spans="1:10">
      <c r="A202" s="41" t="s">
        <v>864</v>
      </c>
      <c r="B202" s="44" t="s">
        <v>542</v>
      </c>
      <c r="C202" s="164">
        <v>5</v>
      </c>
      <c r="D202" s="111" t="s">
        <v>795</v>
      </c>
      <c r="E202" s="49">
        <v>0</v>
      </c>
      <c r="F202" s="109" t="s">
        <v>825</v>
      </c>
      <c r="G202" s="40">
        <v>8</v>
      </c>
      <c r="H202" s="40">
        <f t="shared" si="16"/>
        <v>33</v>
      </c>
      <c r="I202" s="111" t="s">
        <v>894</v>
      </c>
      <c r="J202" s="50"/>
    </row>
    <row r="203" spans="1:10">
      <c r="A203" s="41" t="s">
        <v>864</v>
      </c>
      <c r="B203" s="44" t="s">
        <v>542</v>
      </c>
      <c r="C203" s="135">
        <v>6</v>
      </c>
      <c r="D203" s="111" t="s">
        <v>707</v>
      </c>
      <c r="E203" s="49">
        <v>0</v>
      </c>
      <c r="F203" s="109" t="s">
        <v>825</v>
      </c>
      <c r="G203" s="40">
        <v>1</v>
      </c>
      <c r="H203" s="40">
        <f t="shared" si="16"/>
        <v>34</v>
      </c>
      <c r="I203" s="111" t="s">
        <v>717</v>
      </c>
      <c r="J203" s="50"/>
    </row>
    <row r="204" spans="1:10">
      <c r="A204" s="41" t="s">
        <v>864</v>
      </c>
      <c r="B204" s="44" t="s">
        <v>542</v>
      </c>
      <c r="C204" s="164">
        <v>7</v>
      </c>
      <c r="D204" s="111" t="s">
        <v>408</v>
      </c>
      <c r="E204" s="49">
        <v>2</v>
      </c>
      <c r="F204" s="109" t="s">
        <v>824</v>
      </c>
      <c r="G204" s="40">
        <v>9</v>
      </c>
      <c r="H204" s="40">
        <f t="shared" si="16"/>
        <v>43</v>
      </c>
      <c r="I204" s="111" t="s">
        <v>562</v>
      </c>
      <c r="J204" s="50"/>
    </row>
    <row r="205" spans="1:10">
      <c r="A205" s="41" t="s">
        <v>864</v>
      </c>
      <c r="B205" s="44" t="s">
        <v>542</v>
      </c>
      <c r="C205" s="135">
        <v>8</v>
      </c>
      <c r="D205" s="111" t="s">
        <v>881</v>
      </c>
      <c r="E205" s="49">
        <v>0</v>
      </c>
      <c r="F205" s="109" t="s">
        <v>825</v>
      </c>
      <c r="G205" s="40">
        <v>56</v>
      </c>
      <c r="H205" s="40">
        <f t="shared" si="16"/>
        <v>99</v>
      </c>
      <c r="I205" s="111" t="s">
        <v>787</v>
      </c>
      <c r="J205" s="50"/>
    </row>
    <row r="206" spans="1:10">
      <c r="A206" s="41" t="s">
        <v>864</v>
      </c>
      <c r="B206" s="45" t="s">
        <v>542</v>
      </c>
      <c r="C206" s="165">
        <v>9</v>
      </c>
      <c r="D206" s="108" t="s">
        <v>39</v>
      </c>
      <c r="E206" s="39">
        <v>0</v>
      </c>
      <c r="F206" s="121" t="s">
        <v>825</v>
      </c>
      <c r="G206" s="114">
        <v>1</v>
      </c>
      <c r="H206" s="114">
        <f t="shared" si="16"/>
        <v>100</v>
      </c>
      <c r="I206" s="112" t="s">
        <v>544</v>
      </c>
      <c r="J206" s="114"/>
    </row>
    <row r="207" spans="1:10">
      <c r="A207" s="41" t="s">
        <v>836</v>
      </c>
      <c r="B207" s="44" t="s">
        <v>1514</v>
      </c>
      <c r="C207" s="42">
        <v>1</v>
      </c>
      <c r="D207" s="110" t="s">
        <v>392</v>
      </c>
      <c r="E207" s="42">
        <v>0</v>
      </c>
      <c r="F207" s="120" t="s">
        <v>825</v>
      </c>
      <c r="G207" s="40">
        <v>2</v>
      </c>
      <c r="H207" s="40">
        <v>2</v>
      </c>
      <c r="I207" s="111" t="s">
        <v>59</v>
      </c>
      <c r="J207" s="40"/>
    </row>
    <row r="208" spans="1:10">
      <c r="A208" s="41" t="s">
        <v>836</v>
      </c>
      <c r="B208" s="44" t="s">
        <v>1513</v>
      </c>
      <c r="C208" s="25">
        <v>2</v>
      </c>
      <c r="D208" s="172" t="s">
        <v>706</v>
      </c>
      <c r="E208" s="40">
        <v>0</v>
      </c>
      <c r="F208" s="160" t="s">
        <v>825</v>
      </c>
      <c r="G208" s="40">
        <v>3</v>
      </c>
      <c r="H208" s="40">
        <f t="shared" ref="H208:H214" si="17">H207+G208</f>
        <v>5</v>
      </c>
      <c r="I208" s="107" t="s">
        <v>965</v>
      </c>
      <c r="J208" s="50"/>
    </row>
    <row r="209" spans="1:10">
      <c r="A209" s="41" t="s">
        <v>836</v>
      </c>
      <c r="B209" s="44" t="s">
        <v>1513</v>
      </c>
      <c r="C209" s="164">
        <v>3</v>
      </c>
      <c r="D209" s="111" t="s">
        <v>837</v>
      </c>
      <c r="E209" s="49">
        <v>0</v>
      </c>
      <c r="F209" s="160" t="s">
        <v>825</v>
      </c>
      <c r="G209" s="40">
        <v>12</v>
      </c>
      <c r="H209" s="40">
        <f t="shared" si="17"/>
        <v>17</v>
      </c>
      <c r="I209" s="111" t="s">
        <v>1438</v>
      </c>
      <c r="J209" s="50"/>
    </row>
    <row r="210" spans="1:10">
      <c r="A210" s="41" t="s">
        <v>836</v>
      </c>
      <c r="B210" s="44" t="s">
        <v>1513</v>
      </c>
      <c r="C210" s="135">
        <v>4</v>
      </c>
      <c r="D210" s="111" t="s">
        <v>813</v>
      </c>
      <c r="E210" s="49">
        <v>0</v>
      </c>
      <c r="F210" s="50" t="s">
        <v>825</v>
      </c>
      <c r="G210" s="40">
        <v>6</v>
      </c>
      <c r="H210" s="40">
        <f t="shared" si="17"/>
        <v>23</v>
      </c>
      <c r="I210" s="111" t="s">
        <v>302</v>
      </c>
      <c r="J210" s="50"/>
    </row>
    <row r="211" spans="1:10">
      <c r="A211" s="41" t="s">
        <v>836</v>
      </c>
      <c r="B211" s="44" t="s">
        <v>1513</v>
      </c>
      <c r="C211" s="164">
        <v>5</v>
      </c>
      <c r="D211" s="111" t="s">
        <v>551</v>
      </c>
      <c r="E211" s="49">
        <v>2</v>
      </c>
      <c r="F211" s="109" t="s">
        <v>824</v>
      </c>
      <c r="G211" s="40">
        <v>9</v>
      </c>
      <c r="H211" s="40">
        <f t="shared" si="17"/>
        <v>32</v>
      </c>
      <c r="I211" s="111" t="s">
        <v>641</v>
      </c>
      <c r="J211" s="50"/>
    </row>
    <row r="212" spans="1:10">
      <c r="A212" s="41" t="s">
        <v>836</v>
      </c>
      <c r="B212" s="44" t="s">
        <v>1513</v>
      </c>
      <c r="C212" s="135">
        <v>6</v>
      </c>
      <c r="D212" s="111" t="s">
        <v>448</v>
      </c>
      <c r="E212" s="49">
        <v>2</v>
      </c>
      <c r="F212" s="109" t="s">
        <v>824</v>
      </c>
      <c r="G212" s="40">
        <v>9</v>
      </c>
      <c r="H212" s="40">
        <f t="shared" si="17"/>
        <v>41</v>
      </c>
      <c r="I212" s="111" t="s">
        <v>641</v>
      </c>
      <c r="J212" s="50"/>
    </row>
    <row r="213" spans="1:10">
      <c r="A213" s="41" t="s">
        <v>836</v>
      </c>
      <c r="B213" s="44" t="s">
        <v>1513</v>
      </c>
      <c r="C213" s="164">
        <v>7</v>
      </c>
      <c r="D213" s="111" t="s">
        <v>881</v>
      </c>
      <c r="E213" s="49">
        <v>0</v>
      </c>
      <c r="F213" s="109" t="s">
        <v>825</v>
      </c>
      <c r="G213" s="40">
        <v>28</v>
      </c>
      <c r="H213" s="40">
        <f t="shared" si="17"/>
        <v>69</v>
      </c>
      <c r="I213" s="113"/>
      <c r="J213" s="50"/>
    </row>
    <row r="214" spans="1:10">
      <c r="A214" s="41" t="s">
        <v>836</v>
      </c>
      <c r="B214" s="45" t="s">
        <v>1513</v>
      </c>
      <c r="C214" s="146">
        <v>8</v>
      </c>
      <c r="D214" s="108" t="s">
        <v>39</v>
      </c>
      <c r="E214" s="39">
        <v>0</v>
      </c>
      <c r="F214" s="121" t="s">
        <v>825</v>
      </c>
      <c r="G214" s="114">
        <v>1</v>
      </c>
      <c r="H214" s="115">
        <f t="shared" si="17"/>
        <v>70</v>
      </c>
      <c r="I214" s="108" t="s">
        <v>548</v>
      </c>
      <c r="J214" s="114"/>
    </row>
    <row r="215" spans="1:10">
      <c r="A215" s="41" t="s">
        <v>860</v>
      </c>
      <c r="B215" s="44" t="s">
        <v>1511</v>
      </c>
      <c r="C215" s="42">
        <v>1</v>
      </c>
      <c r="D215" s="110" t="s">
        <v>392</v>
      </c>
      <c r="E215" s="42">
        <v>0</v>
      </c>
      <c r="F215" s="120" t="s">
        <v>825</v>
      </c>
      <c r="G215" s="40">
        <v>2</v>
      </c>
      <c r="H215" s="40">
        <v>2</v>
      </c>
      <c r="I215" s="111" t="s">
        <v>66</v>
      </c>
      <c r="J215" s="40"/>
    </row>
    <row r="216" spans="1:10">
      <c r="A216" s="41" t="s">
        <v>860</v>
      </c>
      <c r="B216" s="44" t="s">
        <v>1511</v>
      </c>
      <c r="C216" s="25">
        <v>2</v>
      </c>
      <c r="D216" s="172" t="s">
        <v>706</v>
      </c>
      <c r="E216" s="40">
        <v>0</v>
      </c>
      <c r="F216" s="160" t="s">
        <v>825</v>
      </c>
      <c r="G216" s="40">
        <v>3</v>
      </c>
      <c r="H216" s="40">
        <f t="shared" ref="H216:H222" si="18">H215+G216</f>
        <v>5</v>
      </c>
      <c r="I216" s="107" t="s">
        <v>964</v>
      </c>
      <c r="J216" s="50"/>
    </row>
    <row r="217" spans="1:10">
      <c r="A217" s="41" t="s">
        <v>860</v>
      </c>
      <c r="B217" s="44" t="s">
        <v>1511</v>
      </c>
      <c r="C217" s="164">
        <v>3</v>
      </c>
      <c r="D217" s="111" t="s">
        <v>837</v>
      </c>
      <c r="E217" s="49">
        <v>0</v>
      </c>
      <c r="F217" s="160" t="s">
        <v>825</v>
      </c>
      <c r="G217" s="40" t="s">
        <v>87</v>
      </c>
      <c r="H217" s="40">
        <f t="shared" si="18"/>
        <v>17</v>
      </c>
      <c r="I217" s="111" t="s">
        <v>1438</v>
      </c>
      <c r="J217" s="50"/>
    </row>
    <row r="218" spans="1:10">
      <c r="A218" s="41" t="s">
        <v>860</v>
      </c>
      <c r="B218" s="44" t="s">
        <v>1511</v>
      </c>
      <c r="C218" s="135">
        <v>4</v>
      </c>
      <c r="D218" s="111" t="s">
        <v>802</v>
      </c>
      <c r="E218" s="49">
        <v>0</v>
      </c>
      <c r="F218" s="109" t="s">
        <v>825</v>
      </c>
      <c r="G218" s="40" t="s">
        <v>138</v>
      </c>
      <c r="H218" s="21">
        <f t="shared" si="18"/>
        <v>23</v>
      </c>
      <c r="I218" s="111" t="s">
        <v>796</v>
      </c>
      <c r="J218" s="50"/>
    </row>
    <row r="219" spans="1:10">
      <c r="A219" s="41" t="s">
        <v>860</v>
      </c>
      <c r="B219" s="44" t="s">
        <v>1511</v>
      </c>
      <c r="C219" s="164">
        <v>5</v>
      </c>
      <c r="D219" s="111" t="s">
        <v>373</v>
      </c>
      <c r="E219" s="49">
        <v>2</v>
      </c>
      <c r="F219" s="109" t="s">
        <v>824</v>
      </c>
      <c r="G219" s="40" t="s">
        <v>86</v>
      </c>
      <c r="H219" s="21">
        <f t="shared" si="18"/>
        <v>32</v>
      </c>
      <c r="I219" s="111" t="s">
        <v>641</v>
      </c>
      <c r="J219" s="50"/>
    </row>
    <row r="220" spans="1:10">
      <c r="A220" s="41" t="s">
        <v>860</v>
      </c>
      <c r="B220" s="44" t="s">
        <v>1511</v>
      </c>
      <c r="C220" s="135">
        <v>6</v>
      </c>
      <c r="D220" s="111" t="s">
        <v>738</v>
      </c>
      <c r="E220" s="49">
        <v>2</v>
      </c>
      <c r="F220" s="109" t="s">
        <v>824</v>
      </c>
      <c r="G220" s="40" t="s">
        <v>86</v>
      </c>
      <c r="H220" s="21">
        <f t="shared" si="18"/>
        <v>41</v>
      </c>
      <c r="I220" s="111" t="s">
        <v>641</v>
      </c>
      <c r="J220" s="50"/>
    </row>
    <row r="221" spans="1:10">
      <c r="A221" s="41" t="s">
        <v>860</v>
      </c>
      <c r="B221" s="44" t="s">
        <v>1511</v>
      </c>
      <c r="C221" s="164">
        <v>7</v>
      </c>
      <c r="D221" s="111" t="s">
        <v>881</v>
      </c>
      <c r="E221" s="49">
        <v>0</v>
      </c>
      <c r="F221" s="109" t="s">
        <v>825</v>
      </c>
      <c r="G221" s="40" t="s">
        <v>90</v>
      </c>
      <c r="H221" s="21">
        <f t="shared" si="18"/>
        <v>69</v>
      </c>
      <c r="I221" s="111" t="s">
        <v>787</v>
      </c>
      <c r="J221" s="50"/>
    </row>
    <row r="222" spans="1:10">
      <c r="A222" s="41" t="s">
        <v>860</v>
      </c>
      <c r="B222" s="45" t="s">
        <v>1511</v>
      </c>
      <c r="C222" s="146">
        <v>8</v>
      </c>
      <c r="D222" s="108" t="s">
        <v>39</v>
      </c>
      <c r="E222" s="39">
        <v>0</v>
      </c>
      <c r="F222" s="121" t="s">
        <v>825</v>
      </c>
      <c r="G222" s="114">
        <v>1</v>
      </c>
      <c r="H222" s="114">
        <f t="shared" si="18"/>
        <v>70</v>
      </c>
      <c r="I222" s="108" t="s">
        <v>548</v>
      </c>
      <c r="J222" s="114"/>
    </row>
    <row r="223" spans="1:10">
      <c r="A223" s="41" t="s">
        <v>870</v>
      </c>
      <c r="B223" s="44" t="s">
        <v>902</v>
      </c>
      <c r="C223" s="42">
        <v>1</v>
      </c>
      <c r="D223" s="111" t="s">
        <v>389</v>
      </c>
      <c r="E223" s="42">
        <v>0</v>
      </c>
      <c r="F223" s="120" t="s">
        <v>825</v>
      </c>
      <c r="G223" s="40">
        <v>2</v>
      </c>
      <c r="H223" s="40">
        <v>2</v>
      </c>
      <c r="I223" s="111" t="s">
        <v>67</v>
      </c>
      <c r="J223" s="40"/>
    </row>
    <row r="224" spans="1:10">
      <c r="A224" s="41" t="s">
        <v>870</v>
      </c>
      <c r="B224" s="44" t="s">
        <v>902</v>
      </c>
      <c r="C224" s="25">
        <v>2</v>
      </c>
      <c r="D224" s="172" t="s">
        <v>736</v>
      </c>
      <c r="E224" s="40">
        <v>0</v>
      </c>
      <c r="F224" s="160" t="s">
        <v>825</v>
      </c>
      <c r="G224" s="40">
        <v>3</v>
      </c>
      <c r="H224" s="40">
        <f t="shared" ref="H224:H232" si="19">H223+G224</f>
        <v>5</v>
      </c>
      <c r="I224" s="107" t="s">
        <v>964</v>
      </c>
      <c r="J224" s="50"/>
    </row>
    <row r="225" spans="1:10">
      <c r="A225" s="41" t="s">
        <v>870</v>
      </c>
      <c r="B225" s="44" t="s">
        <v>902</v>
      </c>
      <c r="C225" s="164">
        <v>3</v>
      </c>
      <c r="D225" s="111" t="s">
        <v>837</v>
      </c>
      <c r="E225" s="49">
        <v>0</v>
      </c>
      <c r="F225" s="160" t="s">
        <v>825</v>
      </c>
      <c r="G225" s="40">
        <v>12</v>
      </c>
      <c r="H225" s="40">
        <f t="shared" si="19"/>
        <v>17</v>
      </c>
      <c r="I225" s="111" t="s">
        <v>1437</v>
      </c>
      <c r="J225" s="50"/>
    </row>
    <row r="226" spans="1:10">
      <c r="A226" s="41" t="s">
        <v>870</v>
      </c>
      <c r="B226" s="44" t="s">
        <v>902</v>
      </c>
      <c r="C226" s="135">
        <v>4</v>
      </c>
      <c r="D226" s="111" t="s">
        <v>609</v>
      </c>
      <c r="E226" s="49">
        <v>0</v>
      </c>
      <c r="F226" s="109" t="s">
        <v>806</v>
      </c>
      <c r="G226" s="40">
        <v>8</v>
      </c>
      <c r="H226" s="21">
        <f t="shared" si="19"/>
        <v>25</v>
      </c>
      <c r="I226" s="111" t="s">
        <v>232</v>
      </c>
      <c r="J226" s="50"/>
    </row>
    <row r="227" spans="1:10">
      <c r="A227" s="41" t="s">
        <v>870</v>
      </c>
      <c r="B227" s="44" t="s">
        <v>902</v>
      </c>
      <c r="C227" s="164">
        <v>5</v>
      </c>
      <c r="D227" s="111" t="s">
        <v>795</v>
      </c>
      <c r="E227" s="49">
        <v>0</v>
      </c>
      <c r="F227" s="109" t="s">
        <v>825</v>
      </c>
      <c r="G227" s="40">
        <v>8</v>
      </c>
      <c r="H227" s="21">
        <f t="shared" si="19"/>
        <v>33</v>
      </c>
      <c r="I227" s="111" t="s">
        <v>457</v>
      </c>
      <c r="J227" s="50"/>
    </row>
    <row r="228" spans="1:10">
      <c r="A228" s="41" t="s">
        <v>870</v>
      </c>
      <c r="B228" s="44" t="s">
        <v>902</v>
      </c>
      <c r="C228" s="135">
        <v>6</v>
      </c>
      <c r="D228" s="111" t="s">
        <v>403</v>
      </c>
      <c r="E228" s="49">
        <v>2</v>
      </c>
      <c r="F228" s="109" t="s">
        <v>824</v>
      </c>
      <c r="G228" s="40">
        <v>9</v>
      </c>
      <c r="H228" s="21">
        <f t="shared" si="19"/>
        <v>42</v>
      </c>
      <c r="I228" s="111" t="s">
        <v>562</v>
      </c>
      <c r="J228" s="50"/>
    </row>
    <row r="229" spans="1:10">
      <c r="A229" s="41" t="s">
        <v>870</v>
      </c>
      <c r="B229" s="44" t="s">
        <v>902</v>
      </c>
      <c r="C229" s="164">
        <v>7</v>
      </c>
      <c r="D229" s="111" t="s">
        <v>707</v>
      </c>
      <c r="E229" s="49">
        <v>0</v>
      </c>
      <c r="F229" s="109" t="s">
        <v>825</v>
      </c>
      <c r="G229" s="40">
        <v>1</v>
      </c>
      <c r="H229" s="21">
        <f t="shared" si="19"/>
        <v>43</v>
      </c>
      <c r="I229" s="111" t="s">
        <v>229</v>
      </c>
      <c r="J229" s="50"/>
    </row>
    <row r="230" spans="1:10">
      <c r="A230" s="41" t="s">
        <v>870</v>
      </c>
      <c r="B230" s="44" t="s">
        <v>902</v>
      </c>
      <c r="C230" s="135">
        <v>8</v>
      </c>
      <c r="D230" s="111" t="s">
        <v>408</v>
      </c>
      <c r="E230" s="49">
        <v>2</v>
      </c>
      <c r="F230" s="109" t="s">
        <v>824</v>
      </c>
      <c r="G230" s="40">
        <v>9</v>
      </c>
      <c r="H230" s="21">
        <f t="shared" si="19"/>
        <v>52</v>
      </c>
      <c r="I230" s="111" t="s">
        <v>562</v>
      </c>
      <c r="J230" s="50"/>
    </row>
    <row r="231" spans="1:10">
      <c r="A231" s="41" t="s">
        <v>870</v>
      </c>
      <c r="B231" s="44" t="s">
        <v>902</v>
      </c>
      <c r="C231" s="164">
        <v>9</v>
      </c>
      <c r="D231" s="111" t="s">
        <v>881</v>
      </c>
      <c r="E231" s="49">
        <v>0</v>
      </c>
      <c r="F231" s="109" t="s">
        <v>825</v>
      </c>
      <c r="G231" s="40">
        <v>7</v>
      </c>
      <c r="H231" s="21">
        <f t="shared" si="19"/>
        <v>59</v>
      </c>
      <c r="I231" s="111" t="s">
        <v>787</v>
      </c>
      <c r="J231" s="50"/>
    </row>
    <row r="232" spans="1:10">
      <c r="A232" s="41" t="s">
        <v>870</v>
      </c>
      <c r="B232" s="45" t="s">
        <v>902</v>
      </c>
      <c r="C232" s="146">
        <v>10</v>
      </c>
      <c r="D232" s="108" t="s">
        <v>39</v>
      </c>
      <c r="E232" s="39">
        <v>0</v>
      </c>
      <c r="F232" s="121" t="s">
        <v>825</v>
      </c>
      <c r="G232" s="114">
        <v>1</v>
      </c>
      <c r="H232" s="114">
        <f t="shared" si="19"/>
        <v>60</v>
      </c>
      <c r="I232" s="108" t="s">
        <v>544</v>
      </c>
      <c r="J232" s="114"/>
    </row>
    <row r="233" spans="1:10">
      <c r="A233" s="41" t="s">
        <v>871</v>
      </c>
      <c r="B233" s="44" t="s">
        <v>785</v>
      </c>
      <c r="C233" s="42">
        <v>1</v>
      </c>
      <c r="D233" s="111" t="s">
        <v>392</v>
      </c>
      <c r="E233" s="42">
        <v>0</v>
      </c>
      <c r="F233" s="120" t="s">
        <v>825</v>
      </c>
      <c r="G233" s="40">
        <v>2</v>
      </c>
      <c r="H233" s="40">
        <v>2</v>
      </c>
      <c r="I233" s="111" t="s">
        <v>68</v>
      </c>
      <c r="J233" s="40"/>
    </row>
    <row r="234" spans="1:10">
      <c r="A234" s="41" t="s">
        <v>871</v>
      </c>
      <c r="B234" s="44" t="s">
        <v>785</v>
      </c>
      <c r="C234" s="25">
        <v>2</v>
      </c>
      <c r="D234" s="172" t="s">
        <v>706</v>
      </c>
      <c r="E234" s="40">
        <v>0</v>
      </c>
      <c r="F234" s="160" t="s">
        <v>825</v>
      </c>
      <c r="G234" s="40">
        <v>3</v>
      </c>
      <c r="H234" s="40">
        <f t="shared" ref="H234:H254" si="20">H233+G234</f>
        <v>5</v>
      </c>
      <c r="I234" s="107" t="s">
        <v>966</v>
      </c>
      <c r="J234" s="50"/>
    </row>
    <row r="235" spans="1:10">
      <c r="A235" s="41" t="s">
        <v>871</v>
      </c>
      <c r="B235" s="44" t="s">
        <v>785</v>
      </c>
      <c r="C235" s="164">
        <v>3</v>
      </c>
      <c r="D235" s="111" t="s">
        <v>837</v>
      </c>
      <c r="E235" s="49">
        <v>0</v>
      </c>
      <c r="F235" s="160" t="s">
        <v>825</v>
      </c>
      <c r="G235" s="40">
        <v>12</v>
      </c>
      <c r="H235" s="40">
        <f t="shared" si="20"/>
        <v>17</v>
      </c>
      <c r="I235" s="111" t="s">
        <v>1439</v>
      </c>
      <c r="J235" s="50"/>
    </row>
    <row r="236" spans="1:10">
      <c r="A236" s="41" t="s">
        <v>871</v>
      </c>
      <c r="B236" s="44" t="s">
        <v>785</v>
      </c>
      <c r="C236" s="135">
        <v>4</v>
      </c>
      <c r="D236" s="111" t="s">
        <v>970</v>
      </c>
      <c r="E236" s="49">
        <v>0</v>
      </c>
      <c r="F236" s="109" t="s">
        <v>825</v>
      </c>
      <c r="G236" s="40">
        <v>2</v>
      </c>
      <c r="H236" s="21">
        <f t="shared" si="20"/>
        <v>19</v>
      </c>
      <c r="I236" s="111" t="s">
        <v>300</v>
      </c>
      <c r="J236" s="50"/>
    </row>
    <row r="237" spans="1:10">
      <c r="A237" s="41" t="s">
        <v>871</v>
      </c>
      <c r="B237" s="44" t="s">
        <v>785</v>
      </c>
      <c r="C237" s="164">
        <v>5</v>
      </c>
      <c r="D237" s="111" t="s">
        <v>583</v>
      </c>
      <c r="E237" s="49">
        <v>0</v>
      </c>
      <c r="F237" s="109" t="s">
        <v>825</v>
      </c>
      <c r="G237" s="40">
        <v>1</v>
      </c>
      <c r="H237" s="21">
        <f t="shared" si="20"/>
        <v>20</v>
      </c>
      <c r="I237" s="111" t="s">
        <v>490</v>
      </c>
      <c r="J237" s="50"/>
    </row>
    <row r="238" spans="1:10">
      <c r="A238" s="41" t="s">
        <v>974</v>
      </c>
      <c r="B238" s="44" t="s">
        <v>785</v>
      </c>
      <c r="C238" s="135">
        <v>6</v>
      </c>
      <c r="D238" s="111" t="s">
        <v>972</v>
      </c>
      <c r="E238" s="49">
        <v>0</v>
      </c>
      <c r="F238" s="160" t="s">
        <v>806</v>
      </c>
      <c r="G238" s="40">
        <v>8</v>
      </c>
      <c r="H238" s="21">
        <f t="shared" si="20"/>
        <v>28</v>
      </c>
      <c r="I238" s="111" t="s">
        <v>973</v>
      </c>
      <c r="J238" s="50"/>
    </row>
    <row r="239" spans="1:10">
      <c r="A239" s="41" t="s">
        <v>871</v>
      </c>
      <c r="B239" s="44" t="s">
        <v>785</v>
      </c>
      <c r="C239" s="164">
        <v>7</v>
      </c>
      <c r="D239" s="111" t="s">
        <v>971</v>
      </c>
      <c r="E239" s="49">
        <v>0</v>
      </c>
      <c r="F239" s="160" t="s">
        <v>806</v>
      </c>
      <c r="G239" s="40">
        <v>8</v>
      </c>
      <c r="H239" s="21">
        <f t="shared" si="20"/>
        <v>36</v>
      </c>
      <c r="I239" s="111" t="s">
        <v>1440</v>
      </c>
      <c r="J239" s="50"/>
    </row>
    <row r="240" spans="1:10">
      <c r="A240" s="41" t="s">
        <v>871</v>
      </c>
      <c r="B240" s="44" t="s">
        <v>785</v>
      </c>
      <c r="C240" s="135">
        <v>8</v>
      </c>
      <c r="D240" s="111" t="s">
        <v>482</v>
      </c>
      <c r="E240" s="49">
        <v>0</v>
      </c>
      <c r="F240" s="109" t="s">
        <v>825</v>
      </c>
      <c r="G240" s="40">
        <v>1</v>
      </c>
      <c r="H240" s="21">
        <f t="shared" si="20"/>
        <v>37</v>
      </c>
      <c r="I240" s="111" t="s">
        <v>154</v>
      </c>
      <c r="J240" s="50"/>
    </row>
    <row r="241" spans="1:10">
      <c r="A241" s="41" t="s">
        <v>871</v>
      </c>
      <c r="B241" s="44" t="s">
        <v>785</v>
      </c>
      <c r="C241" s="164">
        <v>9</v>
      </c>
      <c r="D241" s="111" t="s">
        <v>451</v>
      </c>
      <c r="E241" s="49">
        <v>0</v>
      </c>
      <c r="F241" s="109" t="s">
        <v>806</v>
      </c>
      <c r="G241" s="40">
        <v>8</v>
      </c>
      <c r="H241" s="21">
        <f t="shared" si="20"/>
        <v>45</v>
      </c>
      <c r="I241" s="111" t="s">
        <v>598</v>
      </c>
      <c r="J241" s="50"/>
    </row>
    <row r="242" spans="1:10">
      <c r="A242" s="41" t="s">
        <v>871</v>
      </c>
      <c r="B242" s="44" t="s">
        <v>785</v>
      </c>
      <c r="C242" s="135">
        <v>10</v>
      </c>
      <c r="D242" s="111" t="s">
        <v>349</v>
      </c>
      <c r="E242" s="49">
        <v>0</v>
      </c>
      <c r="F242" s="109" t="s">
        <v>825</v>
      </c>
      <c r="G242" s="40">
        <v>8</v>
      </c>
      <c r="H242" s="21">
        <f t="shared" si="20"/>
        <v>53</v>
      </c>
      <c r="I242" s="111" t="s">
        <v>353</v>
      </c>
      <c r="J242" s="50"/>
    </row>
    <row r="243" spans="1:10">
      <c r="A243" s="41" t="s">
        <v>871</v>
      </c>
      <c r="B243" s="44" t="s">
        <v>785</v>
      </c>
      <c r="C243" s="164">
        <v>11</v>
      </c>
      <c r="D243" s="111" t="s">
        <v>484</v>
      </c>
      <c r="E243" s="49">
        <v>0</v>
      </c>
      <c r="F243" s="109" t="s">
        <v>825</v>
      </c>
      <c r="G243" s="40">
        <v>6</v>
      </c>
      <c r="H243" s="21">
        <f t="shared" si="20"/>
        <v>59</v>
      </c>
      <c r="I243" s="111" t="s">
        <v>455</v>
      </c>
      <c r="J243" s="50"/>
    </row>
    <row r="244" spans="1:10">
      <c r="A244" s="41" t="s">
        <v>871</v>
      </c>
      <c r="B244" s="44" t="s">
        <v>785</v>
      </c>
      <c r="C244" s="135">
        <v>12</v>
      </c>
      <c r="D244" s="111" t="s">
        <v>427</v>
      </c>
      <c r="E244" s="49">
        <v>0</v>
      </c>
      <c r="F244" s="109" t="s">
        <v>825</v>
      </c>
      <c r="G244" s="40">
        <v>40</v>
      </c>
      <c r="H244" s="21">
        <f t="shared" si="20"/>
        <v>99</v>
      </c>
      <c r="I244" s="111" t="s">
        <v>732</v>
      </c>
      <c r="J244" s="50"/>
    </row>
    <row r="245" spans="1:10">
      <c r="A245" s="41" t="s">
        <v>871</v>
      </c>
      <c r="B245" s="44" t="s">
        <v>785</v>
      </c>
      <c r="C245" s="164">
        <v>13</v>
      </c>
      <c r="D245" s="111" t="s">
        <v>401</v>
      </c>
      <c r="E245" s="49">
        <v>0</v>
      </c>
      <c r="F245" s="109" t="s">
        <v>825</v>
      </c>
      <c r="G245" s="40">
        <v>1</v>
      </c>
      <c r="H245" s="21">
        <f t="shared" si="20"/>
        <v>100</v>
      </c>
      <c r="I245" s="111" t="s">
        <v>594</v>
      </c>
      <c r="J245" s="50"/>
    </row>
    <row r="246" spans="1:10">
      <c r="A246" s="41" t="s">
        <v>871</v>
      </c>
      <c r="B246" s="44" t="s">
        <v>785</v>
      </c>
      <c r="C246" s="135">
        <v>14</v>
      </c>
      <c r="D246" s="111" t="s">
        <v>480</v>
      </c>
      <c r="E246" s="49">
        <v>0</v>
      </c>
      <c r="F246" s="109" t="s">
        <v>825</v>
      </c>
      <c r="G246" s="40">
        <v>1</v>
      </c>
      <c r="H246" s="21">
        <f t="shared" si="20"/>
        <v>101</v>
      </c>
      <c r="I246" s="111" t="s">
        <v>730</v>
      </c>
      <c r="J246" s="50"/>
    </row>
    <row r="247" spans="1:10">
      <c r="A247" s="41" t="s">
        <v>871</v>
      </c>
      <c r="B247" s="44" t="s">
        <v>785</v>
      </c>
      <c r="C247" s="164">
        <v>15</v>
      </c>
      <c r="D247" s="111" t="s">
        <v>897</v>
      </c>
      <c r="E247" s="49">
        <v>5</v>
      </c>
      <c r="F247" s="109" t="s">
        <v>824</v>
      </c>
      <c r="G247" s="40">
        <v>8</v>
      </c>
      <c r="H247" s="21">
        <f t="shared" si="20"/>
        <v>109</v>
      </c>
      <c r="I247" s="111" t="s">
        <v>352</v>
      </c>
      <c r="J247" s="50"/>
    </row>
    <row r="248" spans="1:10">
      <c r="A248" s="41" t="s">
        <v>871</v>
      </c>
      <c r="B248" s="44" t="s">
        <v>785</v>
      </c>
      <c r="C248" s="135">
        <v>16</v>
      </c>
      <c r="D248" s="111" t="s">
        <v>1104</v>
      </c>
      <c r="E248" s="49">
        <v>3</v>
      </c>
      <c r="F248" s="109" t="s">
        <v>824</v>
      </c>
      <c r="G248" s="40">
        <v>8</v>
      </c>
      <c r="H248" s="21">
        <f t="shared" si="20"/>
        <v>117</v>
      </c>
      <c r="I248" s="111" t="s">
        <v>1057</v>
      </c>
      <c r="J248" s="50"/>
    </row>
    <row r="249" spans="1:10">
      <c r="A249" s="41" t="s">
        <v>871</v>
      </c>
      <c r="B249" s="44" t="s">
        <v>785</v>
      </c>
      <c r="C249" s="164">
        <v>17</v>
      </c>
      <c r="D249" s="111" t="s">
        <v>466</v>
      </c>
      <c r="E249" s="49">
        <v>0</v>
      </c>
      <c r="F249" s="109" t="s">
        <v>825</v>
      </c>
      <c r="G249" s="40">
        <v>1</v>
      </c>
      <c r="H249" s="21">
        <f t="shared" si="20"/>
        <v>118</v>
      </c>
      <c r="I249" s="111" t="s">
        <v>727</v>
      </c>
      <c r="J249" s="50"/>
    </row>
    <row r="250" spans="1:10">
      <c r="A250" s="41" t="s">
        <v>871</v>
      </c>
      <c r="B250" s="44" t="s">
        <v>785</v>
      </c>
      <c r="C250" s="135">
        <v>18</v>
      </c>
      <c r="D250" s="111" t="s">
        <v>420</v>
      </c>
      <c r="E250" s="49">
        <v>0</v>
      </c>
      <c r="F250" s="109" t="s">
        <v>825</v>
      </c>
      <c r="G250" s="40">
        <v>16</v>
      </c>
      <c r="H250" s="21">
        <f t="shared" si="20"/>
        <v>134</v>
      </c>
      <c r="I250" s="111" t="s">
        <v>192</v>
      </c>
      <c r="J250" s="50"/>
    </row>
    <row r="251" spans="1:10">
      <c r="A251" s="41" t="s">
        <v>871</v>
      </c>
      <c r="B251" s="44" t="s">
        <v>785</v>
      </c>
      <c r="C251" s="164">
        <v>19</v>
      </c>
      <c r="D251" s="111" t="s">
        <v>417</v>
      </c>
      <c r="E251" s="49">
        <v>0</v>
      </c>
      <c r="F251" s="109" t="s">
        <v>825</v>
      </c>
      <c r="G251" s="40">
        <v>2</v>
      </c>
      <c r="H251" s="21">
        <f t="shared" si="20"/>
        <v>136</v>
      </c>
      <c r="I251" s="111" t="s">
        <v>596</v>
      </c>
      <c r="J251" s="50"/>
    </row>
    <row r="252" spans="1:10">
      <c r="A252" s="41" t="s">
        <v>871</v>
      </c>
      <c r="B252" s="44" t="s">
        <v>785</v>
      </c>
      <c r="C252" s="135">
        <v>20</v>
      </c>
      <c r="D252" s="111" t="s">
        <v>399</v>
      </c>
      <c r="E252" s="49">
        <v>0</v>
      </c>
      <c r="F252" s="109" t="s">
        <v>825</v>
      </c>
      <c r="G252" s="40">
        <v>2</v>
      </c>
      <c r="H252" s="21">
        <f t="shared" si="20"/>
        <v>138</v>
      </c>
      <c r="I252" s="111" t="s">
        <v>249</v>
      </c>
      <c r="J252" s="50"/>
    </row>
    <row r="253" spans="1:10">
      <c r="A253" s="41" t="s">
        <v>871</v>
      </c>
      <c r="B253" s="44" t="s">
        <v>785</v>
      </c>
      <c r="C253" s="164">
        <v>21</v>
      </c>
      <c r="D253" s="111" t="s">
        <v>881</v>
      </c>
      <c r="E253" s="49">
        <v>0</v>
      </c>
      <c r="F253" s="109" t="s">
        <v>825</v>
      </c>
      <c r="G253" s="40">
        <v>11</v>
      </c>
      <c r="H253" s="21">
        <f t="shared" si="20"/>
        <v>149</v>
      </c>
      <c r="I253" s="111" t="s">
        <v>787</v>
      </c>
      <c r="J253" s="50"/>
    </row>
    <row r="254" spans="1:10">
      <c r="A254" s="41" t="s">
        <v>871</v>
      </c>
      <c r="B254" s="45" t="s">
        <v>785</v>
      </c>
      <c r="C254" s="146">
        <v>22</v>
      </c>
      <c r="D254" s="108" t="s">
        <v>39</v>
      </c>
      <c r="E254" s="39">
        <v>0</v>
      </c>
      <c r="F254" s="121" t="s">
        <v>825</v>
      </c>
      <c r="G254" s="114">
        <v>1</v>
      </c>
      <c r="H254" s="114">
        <f t="shared" si="20"/>
        <v>150</v>
      </c>
      <c r="I254" s="108" t="s">
        <v>544</v>
      </c>
      <c r="J254" s="114"/>
    </row>
    <row r="255" spans="1:10">
      <c r="A255" s="41" t="s">
        <v>794</v>
      </c>
      <c r="B255" s="44" t="s">
        <v>611</v>
      </c>
      <c r="C255" s="42">
        <v>1</v>
      </c>
      <c r="D255" s="44" t="s">
        <v>392</v>
      </c>
      <c r="E255" s="118">
        <v>0</v>
      </c>
      <c r="F255" s="120" t="s">
        <v>825</v>
      </c>
      <c r="G255" s="40">
        <v>2</v>
      </c>
      <c r="H255" s="40">
        <v>2</v>
      </c>
      <c r="I255" s="111" t="s">
        <v>24</v>
      </c>
      <c r="J255" s="40"/>
    </row>
    <row r="256" spans="1:10">
      <c r="A256" s="41" t="s">
        <v>794</v>
      </c>
      <c r="B256" s="44" t="s">
        <v>611</v>
      </c>
      <c r="C256" s="25">
        <v>2</v>
      </c>
      <c r="D256" s="44" t="s">
        <v>706</v>
      </c>
      <c r="E256" s="118">
        <v>0</v>
      </c>
      <c r="F256" s="160" t="s">
        <v>825</v>
      </c>
      <c r="G256" s="40">
        <v>3</v>
      </c>
      <c r="H256" s="21">
        <f t="shared" ref="H256:H266" si="21">H255+G256</f>
        <v>5</v>
      </c>
      <c r="I256" s="111" t="s">
        <v>967</v>
      </c>
      <c r="J256" s="50"/>
    </row>
    <row r="257" spans="1:10">
      <c r="A257" s="41" t="s">
        <v>794</v>
      </c>
      <c r="B257" s="44" t="s">
        <v>611</v>
      </c>
      <c r="C257" s="164">
        <v>3</v>
      </c>
      <c r="D257" s="44" t="s">
        <v>350</v>
      </c>
      <c r="E257" s="118">
        <v>0</v>
      </c>
      <c r="F257" s="160" t="s">
        <v>825</v>
      </c>
      <c r="G257" s="40">
        <v>6</v>
      </c>
      <c r="H257" s="21">
        <f t="shared" si="21"/>
        <v>11</v>
      </c>
      <c r="I257" s="111" t="s">
        <v>689</v>
      </c>
      <c r="J257" s="50"/>
    </row>
    <row r="258" spans="1:10">
      <c r="A258" s="41" t="s">
        <v>794</v>
      </c>
      <c r="B258" s="44" t="s">
        <v>611</v>
      </c>
      <c r="C258" s="135">
        <v>4</v>
      </c>
      <c r="D258" s="111" t="s">
        <v>837</v>
      </c>
      <c r="E258" s="118">
        <v>0</v>
      </c>
      <c r="F258" s="160" t="s">
        <v>825</v>
      </c>
      <c r="G258" s="40">
        <v>12</v>
      </c>
      <c r="H258" s="21">
        <f t="shared" si="21"/>
        <v>23</v>
      </c>
      <c r="I258" s="111" t="s">
        <v>944</v>
      </c>
      <c r="J258" s="50"/>
    </row>
    <row r="259" spans="1:10">
      <c r="A259" s="41" t="s">
        <v>794</v>
      </c>
      <c r="B259" s="44" t="s">
        <v>611</v>
      </c>
      <c r="C259" s="164">
        <v>5</v>
      </c>
      <c r="D259" s="44" t="s">
        <v>802</v>
      </c>
      <c r="E259" s="118">
        <v>0</v>
      </c>
      <c r="F259" s="160" t="s">
        <v>825</v>
      </c>
      <c r="G259" s="40">
        <v>6</v>
      </c>
      <c r="H259" s="21">
        <f t="shared" si="21"/>
        <v>29</v>
      </c>
      <c r="I259" s="111" t="s">
        <v>225</v>
      </c>
      <c r="J259" s="50"/>
    </row>
    <row r="260" spans="1:10">
      <c r="A260" s="41" t="s">
        <v>794</v>
      </c>
      <c r="B260" s="44" t="s">
        <v>611</v>
      </c>
      <c r="C260" s="135">
        <v>6</v>
      </c>
      <c r="D260" s="44" t="s">
        <v>845</v>
      </c>
      <c r="E260" s="118">
        <v>0</v>
      </c>
      <c r="F260" s="160" t="s">
        <v>824</v>
      </c>
      <c r="G260" s="40">
        <v>9</v>
      </c>
      <c r="H260" s="21">
        <f t="shared" si="21"/>
        <v>38</v>
      </c>
      <c r="I260" s="111" t="s">
        <v>1441</v>
      </c>
      <c r="J260" s="50"/>
    </row>
    <row r="261" spans="1:10">
      <c r="A261" s="41" t="s">
        <v>794</v>
      </c>
      <c r="B261" s="44" t="s">
        <v>611</v>
      </c>
      <c r="C261" s="164">
        <v>7</v>
      </c>
      <c r="D261" s="44" t="s">
        <v>832</v>
      </c>
      <c r="E261" s="118">
        <v>0</v>
      </c>
      <c r="F261" s="160" t="s">
        <v>825</v>
      </c>
      <c r="G261" s="40">
        <v>1</v>
      </c>
      <c r="H261" s="21">
        <f t="shared" si="21"/>
        <v>39</v>
      </c>
      <c r="I261" s="111" t="s">
        <v>176</v>
      </c>
      <c r="J261" s="50"/>
    </row>
    <row r="262" spans="1:10">
      <c r="A262" s="41" t="s">
        <v>794</v>
      </c>
      <c r="B262" s="44" t="s">
        <v>611</v>
      </c>
      <c r="C262" s="135">
        <v>8</v>
      </c>
      <c r="D262" s="44" t="s">
        <v>347</v>
      </c>
      <c r="E262" s="118">
        <v>2</v>
      </c>
      <c r="F262" s="160" t="s">
        <v>824</v>
      </c>
      <c r="G262" s="40">
        <v>9</v>
      </c>
      <c r="H262" s="21">
        <f t="shared" si="21"/>
        <v>48</v>
      </c>
      <c r="I262" s="111" t="s">
        <v>701</v>
      </c>
      <c r="J262" s="50"/>
    </row>
    <row r="263" spans="1:10">
      <c r="A263" s="41" t="s">
        <v>794</v>
      </c>
      <c r="B263" s="44" t="s">
        <v>611</v>
      </c>
      <c r="C263" s="164">
        <v>9</v>
      </c>
      <c r="D263" s="44" t="s">
        <v>429</v>
      </c>
      <c r="E263" s="118">
        <v>0</v>
      </c>
      <c r="F263" s="160" t="s">
        <v>806</v>
      </c>
      <c r="G263" s="40">
        <v>12</v>
      </c>
      <c r="H263" s="21">
        <f t="shared" si="21"/>
        <v>60</v>
      </c>
      <c r="I263" s="111" t="s">
        <v>580</v>
      </c>
      <c r="J263" s="50"/>
    </row>
    <row r="264" spans="1:10">
      <c r="A264" s="41" t="s">
        <v>794</v>
      </c>
      <c r="B264" s="44" t="s">
        <v>611</v>
      </c>
      <c r="C264" s="135">
        <v>10</v>
      </c>
      <c r="D264" s="44" t="s">
        <v>398</v>
      </c>
      <c r="E264" s="118">
        <v>0</v>
      </c>
      <c r="F264" s="160" t="s">
        <v>806</v>
      </c>
      <c r="G264" s="40">
        <v>12</v>
      </c>
      <c r="H264" s="21">
        <f t="shared" si="21"/>
        <v>72</v>
      </c>
      <c r="I264" s="111" t="s">
        <v>469</v>
      </c>
      <c r="J264" s="50"/>
    </row>
    <row r="265" spans="1:10">
      <c r="A265" s="41" t="s">
        <v>794</v>
      </c>
      <c r="B265" s="44" t="s">
        <v>611</v>
      </c>
      <c r="C265" s="164">
        <v>11</v>
      </c>
      <c r="D265" s="44" t="s">
        <v>881</v>
      </c>
      <c r="E265" s="118">
        <v>0</v>
      </c>
      <c r="F265" s="160" t="s">
        <v>825</v>
      </c>
      <c r="G265" s="50">
        <v>4</v>
      </c>
      <c r="H265" s="21">
        <f t="shared" si="21"/>
        <v>76</v>
      </c>
      <c r="I265" s="111" t="s">
        <v>787</v>
      </c>
      <c r="J265" s="50"/>
    </row>
    <row r="266" spans="1:10">
      <c r="A266" s="41" t="s">
        <v>794</v>
      </c>
      <c r="B266" s="45" t="s">
        <v>611</v>
      </c>
      <c r="C266" s="146">
        <v>12</v>
      </c>
      <c r="D266" s="45" t="s">
        <v>39</v>
      </c>
      <c r="E266" s="119">
        <v>0</v>
      </c>
      <c r="F266" s="161" t="s">
        <v>825</v>
      </c>
      <c r="G266" s="114">
        <v>1</v>
      </c>
      <c r="H266" s="114">
        <f t="shared" si="21"/>
        <v>77</v>
      </c>
      <c r="I266" s="112" t="s">
        <v>544</v>
      </c>
      <c r="J266" s="115"/>
    </row>
    <row r="267" spans="1:10">
      <c r="A267" s="41" t="s">
        <v>878</v>
      </c>
      <c r="B267" s="44" t="s">
        <v>250</v>
      </c>
      <c r="C267" s="42">
        <v>1</v>
      </c>
      <c r="D267" s="44" t="s">
        <v>392</v>
      </c>
      <c r="E267" s="118">
        <v>0</v>
      </c>
      <c r="F267" s="162" t="s">
        <v>825</v>
      </c>
      <c r="G267" s="40">
        <v>2</v>
      </c>
      <c r="H267" s="40">
        <v>2</v>
      </c>
      <c r="I267" s="111" t="s">
        <v>136</v>
      </c>
      <c r="J267" s="40"/>
    </row>
    <row r="268" spans="1:10">
      <c r="A268" s="41" t="s">
        <v>878</v>
      </c>
      <c r="B268" s="44" t="s">
        <v>250</v>
      </c>
      <c r="C268" s="25">
        <v>2</v>
      </c>
      <c r="D268" s="44" t="s">
        <v>706</v>
      </c>
      <c r="E268" s="118">
        <v>0</v>
      </c>
      <c r="F268" s="160" t="s">
        <v>825</v>
      </c>
      <c r="G268" s="40">
        <v>3</v>
      </c>
      <c r="H268" s="21">
        <f t="shared" ref="H268:H278" si="22">H267+G268</f>
        <v>5</v>
      </c>
      <c r="I268" s="111" t="s">
        <v>967</v>
      </c>
      <c r="J268" s="50"/>
    </row>
    <row r="269" spans="1:10">
      <c r="A269" s="41" t="s">
        <v>878</v>
      </c>
      <c r="B269" s="179" t="s">
        <v>250</v>
      </c>
      <c r="C269" s="164">
        <v>3</v>
      </c>
      <c r="D269" s="44" t="s">
        <v>350</v>
      </c>
      <c r="E269" s="118">
        <v>0</v>
      </c>
      <c r="F269" s="160" t="s">
        <v>825</v>
      </c>
      <c r="G269" s="40">
        <v>6</v>
      </c>
      <c r="H269" s="21">
        <f t="shared" si="22"/>
        <v>11</v>
      </c>
      <c r="I269" s="111" t="s">
        <v>689</v>
      </c>
      <c r="J269" s="50"/>
    </row>
    <row r="270" spans="1:10">
      <c r="A270" s="41" t="s">
        <v>878</v>
      </c>
      <c r="B270" s="179" t="s">
        <v>250</v>
      </c>
      <c r="C270" s="135">
        <v>4</v>
      </c>
      <c r="D270" s="111" t="s">
        <v>837</v>
      </c>
      <c r="E270" s="118">
        <v>0</v>
      </c>
      <c r="F270" s="160" t="s">
        <v>825</v>
      </c>
      <c r="G270" s="40">
        <v>12</v>
      </c>
      <c r="H270" s="21">
        <f t="shared" si="22"/>
        <v>23</v>
      </c>
      <c r="I270" s="111" t="s">
        <v>944</v>
      </c>
      <c r="J270" s="50"/>
    </row>
    <row r="271" spans="1:10">
      <c r="A271" s="41" t="s">
        <v>878</v>
      </c>
      <c r="B271" s="179" t="s">
        <v>250</v>
      </c>
      <c r="C271" s="164">
        <v>5</v>
      </c>
      <c r="D271" s="44" t="s">
        <v>802</v>
      </c>
      <c r="E271" s="118">
        <v>0</v>
      </c>
      <c r="F271" s="160" t="s">
        <v>825</v>
      </c>
      <c r="G271" s="40">
        <v>6</v>
      </c>
      <c r="H271" s="21">
        <f t="shared" si="22"/>
        <v>29</v>
      </c>
      <c r="I271" s="111" t="s">
        <v>225</v>
      </c>
      <c r="J271" s="50"/>
    </row>
    <row r="272" spans="1:10">
      <c r="A272" s="41" t="s">
        <v>878</v>
      </c>
      <c r="B272" s="179" t="s">
        <v>250</v>
      </c>
      <c r="C272" s="135">
        <v>6</v>
      </c>
      <c r="D272" s="44" t="s">
        <v>845</v>
      </c>
      <c r="E272" s="118">
        <v>0</v>
      </c>
      <c r="F272" s="160" t="s">
        <v>824</v>
      </c>
      <c r="G272" s="40">
        <v>9</v>
      </c>
      <c r="H272" s="21">
        <f t="shared" si="22"/>
        <v>38</v>
      </c>
      <c r="I272" s="111" t="s">
        <v>1441</v>
      </c>
      <c r="J272" s="50"/>
    </row>
    <row r="273" spans="1:10">
      <c r="A273" s="41" t="s">
        <v>878</v>
      </c>
      <c r="B273" s="179" t="s">
        <v>250</v>
      </c>
      <c r="C273" s="164">
        <v>7</v>
      </c>
      <c r="D273" s="44" t="s">
        <v>832</v>
      </c>
      <c r="E273" s="118">
        <v>0</v>
      </c>
      <c r="F273" s="160" t="s">
        <v>825</v>
      </c>
      <c r="G273" s="40">
        <v>1</v>
      </c>
      <c r="H273" s="21">
        <f t="shared" si="22"/>
        <v>39</v>
      </c>
      <c r="I273" s="111" t="s">
        <v>176</v>
      </c>
      <c r="J273" s="50"/>
    </row>
    <row r="274" spans="1:10">
      <c r="A274" s="41" t="s">
        <v>878</v>
      </c>
      <c r="B274" s="179" t="s">
        <v>250</v>
      </c>
      <c r="C274" s="135">
        <v>8</v>
      </c>
      <c r="D274" s="44" t="s">
        <v>347</v>
      </c>
      <c r="E274" s="118">
        <v>2</v>
      </c>
      <c r="F274" s="160" t="s">
        <v>824</v>
      </c>
      <c r="G274" s="40">
        <v>9</v>
      </c>
      <c r="H274" s="21">
        <f t="shared" si="22"/>
        <v>48</v>
      </c>
      <c r="I274" s="111" t="s">
        <v>701</v>
      </c>
      <c r="J274" s="50"/>
    </row>
    <row r="275" spans="1:10">
      <c r="A275" s="41" t="s">
        <v>878</v>
      </c>
      <c r="B275" s="179" t="s">
        <v>250</v>
      </c>
      <c r="C275" s="164">
        <v>9</v>
      </c>
      <c r="D275" s="44" t="s">
        <v>429</v>
      </c>
      <c r="E275" s="118">
        <v>0</v>
      </c>
      <c r="F275" s="160" t="s">
        <v>806</v>
      </c>
      <c r="G275" s="40">
        <v>12</v>
      </c>
      <c r="H275" s="21">
        <f t="shared" si="22"/>
        <v>60</v>
      </c>
      <c r="I275" s="111" t="s">
        <v>580</v>
      </c>
      <c r="J275" s="50"/>
    </row>
    <row r="276" spans="1:10">
      <c r="A276" s="41" t="s">
        <v>878</v>
      </c>
      <c r="B276" s="179" t="s">
        <v>250</v>
      </c>
      <c r="C276" s="135">
        <v>10</v>
      </c>
      <c r="D276" s="44" t="s">
        <v>398</v>
      </c>
      <c r="E276" s="118">
        <v>0</v>
      </c>
      <c r="F276" s="160" t="s">
        <v>806</v>
      </c>
      <c r="G276" s="40">
        <v>12</v>
      </c>
      <c r="H276" s="21">
        <f t="shared" si="22"/>
        <v>72</v>
      </c>
      <c r="I276" s="111" t="s">
        <v>469</v>
      </c>
      <c r="J276" s="50"/>
    </row>
    <row r="277" spans="1:10">
      <c r="A277" s="41" t="s">
        <v>878</v>
      </c>
      <c r="B277" s="44" t="s">
        <v>250</v>
      </c>
      <c r="C277" s="164">
        <v>11</v>
      </c>
      <c r="D277" s="44" t="s">
        <v>881</v>
      </c>
      <c r="E277" s="118">
        <v>0</v>
      </c>
      <c r="F277" s="160" t="s">
        <v>825</v>
      </c>
      <c r="G277" s="50">
        <v>4</v>
      </c>
      <c r="H277" s="21">
        <f t="shared" si="22"/>
        <v>76</v>
      </c>
      <c r="I277" s="111" t="s">
        <v>787</v>
      </c>
      <c r="J277" s="50"/>
    </row>
    <row r="278" spans="1:10">
      <c r="A278" s="41" t="s">
        <v>878</v>
      </c>
      <c r="B278" s="116" t="s">
        <v>250</v>
      </c>
      <c r="C278" s="146">
        <v>12</v>
      </c>
      <c r="D278" s="45" t="s">
        <v>39</v>
      </c>
      <c r="E278" s="119">
        <v>0</v>
      </c>
      <c r="F278" s="161" t="s">
        <v>825</v>
      </c>
      <c r="G278" s="114">
        <v>1</v>
      </c>
      <c r="H278" s="114">
        <f t="shared" si="22"/>
        <v>77</v>
      </c>
      <c r="I278" s="112" t="s">
        <v>544</v>
      </c>
      <c r="J278" s="115"/>
    </row>
    <row r="279" spans="1:10">
      <c r="A279" s="41" t="s">
        <v>866</v>
      </c>
      <c r="B279" s="44" t="s">
        <v>374</v>
      </c>
      <c r="C279" s="42">
        <v>1</v>
      </c>
      <c r="D279" s="44" t="s">
        <v>392</v>
      </c>
      <c r="E279" s="118">
        <v>0</v>
      </c>
      <c r="F279" s="162" t="s">
        <v>825</v>
      </c>
      <c r="G279" s="40">
        <v>2</v>
      </c>
      <c r="H279" s="40">
        <v>2</v>
      </c>
      <c r="I279" s="111" t="s">
        <v>133</v>
      </c>
      <c r="J279" s="40"/>
    </row>
    <row r="280" spans="1:10">
      <c r="A280" s="41" t="s">
        <v>866</v>
      </c>
      <c r="B280" s="44" t="s">
        <v>374</v>
      </c>
      <c r="C280" s="25">
        <v>2</v>
      </c>
      <c r="D280" s="44" t="s">
        <v>706</v>
      </c>
      <c r="E280" s="118">
        <v>0</v>
      </c>
      <c r="F280" s="160" t="s">
        <v>825</v>
      </c>
      <c r="G280" s="40">
        <v>3</v>
      </c>
      <c r="H280" s="21">
        <f t="shared" ref="H280:H290" si="23">H279+G280</f>
        <v>5</v>
      </c>
      <c r="I280" s="111" t="s">
        <v>967</v>
      </c>
      <c r="J280" s="50"/>
    </row>
    <row r="281" spans="1:10">
      <c r="A281" s="41" t="s">
        <v>866</v>
      </c>
      <c r="B281" s="44" t="s">
        <v>374</v>
      </c>
      <c r="C281" s="164">
        <v>3</v>
      </c>
      <c r="D281" s="44" t="s">
        <v>350</v>
      </c>
      <c r="E281" s="118">
        <v>0</v>
      </c>
      <c r="F281" s="160" t="s">
        <v>825</v>
      </c>
      <c r="G281" s="40">
        <v>6</v>
      </c>
      <c r="H281" s="21">
        <f t="shared" si="23"/>
        <v>11</v>
      </c>
      <c r="I281" s="111" t="s">
        <v>689</v>
      </c>
      <c r="J281" s="50"/>
    </row>
    <row r="282" spans="1:10">
      <c r="A282" s="41" t="s">
        <v>866</v>
      </c>
      <c r="B282" s="44" t="s">
        <v>374</v>
      </c>
      <c r="C282" s="135">
        <v>4</v>
      </c>
      <c r="D282" s="111" t="s">
        <v>837</v>
      </c>
      <c r="E282" s="118">
        <v>0</v>
      </c>
      <c r="F282" s="160" t="s">
        <v>825</v>
      </c>
      <c r="G282" s="40">
        <v>12</v>
      </c>
      <c r="H282" s="21">
        <f t="shared" si="23"/>
        <v>23</v>
      </c>
      <c r="I282" s="111" t="s">
        <v>944</v>
      </c>
      <c r="J282" s="50"/>
    </row>
    <row r="283" spans="1:10">
      <c r="A283" s="41" t="s">
        <v>866</v>
      </c>
      <c r="B283" s="44" t="s">
        <v>374</v>
      </c>
      <c r="C283" s="164">
        <v>5</v>
      </c>
      <c r="D283" s="44" t="s">
        <v>802</v>
      </c>
      <c r="E283" s="118">
        <v>0</v>
      </c>
      <c r="F283" s="160" t="s">
        <v>825</v>
      </c>
      <c r="G283" s="40">
        <v>6</v>
      </c>
      <c r="H283" s="21">
        <f t="shared" si="23"/>
        <v>29</v>
      </c>
      <c r="I283" s="111" t="s">
        <v>225</v>
      </c>
      <c r="J283" s="50"/>
    </row>
    <row r="284" spans="1:10">
      <c r="A284" s="41" t="s">
        <v>866</v>
      </c>
      <c r="B284" s="44" t="s">
        <v>374</v>
      </c>
      <c r="C284" s="135">
        <v>6</v>
      </c>
      <c r="D284" s="44" t="s">
        <v>845</v>
      </c>
      <c r="E284" s="118">
        <v>0</v>
      </c>
      <c r="F284" s="160" t="s">
        <v>824</v>
      </c>
      <c r="G284" s="40">
        <v>9</v>
      </c>
      <c r="H284" s="21">
        <f t="shared" si="23"/>
        <v>38</v>
      </c>
      <c r="I284" s="111" t="s">
        <v>1441</v>
      </c>
      <c r="J284" s="50"/>
    </row>
    <row r="285" spans="1:10">
      <c r="A285" s="41" t="s">
        <v>866</v>
      </c>
      <c r="B285" s="44" t="s">
        <v>374</v>
      </c>
      <c r="C285" s="164">
        <v>7</v>
      </c>
      <c r="D285" s="44" t="s">
        <v>832</v>
      </c>
      <c r="E285" s="118">
        <v>0</v>
      </c>
      <c r="F285" s="160" t="s">
        <v>825</v>
      </c>
      <c r="G285" s="40">
        <v>1</v>
      </c>
      <c r="H285" s="21">
        <f t="shared" si="23"/>
        <v>39</v>
      </c>
      <c r="I285" s="111" t="s">
        <v>176</v>
      </c>
      <c r="J285" s="50"/>
    </row>
    <row r="286" spans="1:10">
      <c r="A286" s="41" t="s">
        <v>866</v>
      </c>
      <c r="B286" s="44" t="s">
        <v>374</v>
      </c>
      <c r="C286" s="135">
        <v>8</v>
      </c>
      <c r="D286" s="44" t="s">
        <v>347</v>
      </c>
      <c r="E286" s="118">
        <v>2</v>
      </c>
      <c r="F286" s="160" t="s">
        <v>824</v>
      </c>
      <c r="G286" s="40">
        <v>9</v>
      </c>
      <c r="H286" s="21">
        <f t="shared" si="23"/>
        <v>48</v>
      </c>
      <c r="I286" s="111" t="s">
        <v>701</v>
      </c>
      <c r="J286" s="50"/>
    </row>
    <row r="287" spans="1:10">
      <c r="A287" s="41" t="s">
        <v>866</v>
      </c>
      <c r="B287" s="44" t="s">
        <v>374</v>
      </c>
      <c r="C287" s="164">
        <v>9</v>
      </c>
      <c r="D287" s="44" t="s">
        <v>429</v>
      </c>
      <c r="E287" s="118">
        <v>0</v>
      </c>
      <c r="F287" s="160" t="s">
        <v>806</v>
      </c>
      <c r="G287" s="40">
        <v>12</v>
      </c>
      <c r="H287" s="21">
        <f t="shared" si="23"/>
        <v>60</v>
      </c>
      <c r="I287" s="111" t="s">
        <v>580</v>
      </c>
      <c r="J287" s="50"/>
    </row>
    <row r="288" spans="1:10">
      <c r="A288" s="41" t="s">
        <v>866</v>
      </c>
      <c r="B288" s="44" t="s">
        <v>374</v>
      </c>
      <c r="C288" s="135">
        <v>10</v>
      </c>
      <c r="D288" s="44" t="s">
        <v>398</v>
      </c>
      <c r="E288" s="118">
        <v>0</v>
      </c>
      <c r="F288" s="160" t="s">
        <v>806</v>
      </c>
      <c r="G288" s="40">
        <v>12</v>
      </c>
      <c r="H288" s="21">
        <f t="shared" si="23"/>
        <v>72</v>
      </c>
      <c r="I288" s="111" t="s">
        <v>469</v>
      </c>
      <c r="J288" s="50"/>
    </row>
    <row r="289" spans="1:10">
      <c r="A289" s="41" t="s">
        <v>866</v>
      </c>
      <c r="B289" s="44" t="s">
        <v>374</v>
      </c>
      <c r="C289" s="164">
        <v>11</v>
      </c>
      <c r="D289" s="44" t="s">
        <v>881</v>
      </c>
      <c r="E289" s="118">
        <v>0</v>
      </c>
      <c r="F289" s="160" t="s">
        <v>825</v>
      </c>
      <c r="G289" s="50">
        <v>4</v>
      </c>
      <c r="H289" s="21">
        <f t="shared" si="23"/>
        <v>76</v>
      </c>
      <c r="I289" s="111" t="s">
        <v>787</v>
      </c>
      <c r="J289" s="50"/>
    </row>
    <row r="290" spans="1:10">
      <c r="A290" s="41" t="s">
        <v>866</v>
      </c>
      <c r="B290" s="116" t="s">
        <v>374</v>
      </c>
      <c r="C290" s="146">
        <v>12</v>
      </c>
      <c r="D290" s="45" t="s">
        <v>39</v>
      </c>
      <c r="E290" s="119">
        <v>0</v>
      </c>
      <c r="F290" s="161" t="s">
        <v>825</v>
      </c>
      <c r="G290" s="114">
        <v>1</v>
      </c>
      <c r="H290" s="114">
        <f t="shared" si="23"/>
        <v>77</v>
      </c>
      <c r="I290" s="112" t="s">
        <v>544</v>
      </c>
      <c r="J290" s="115"/>
    </row>
    <row r="291" spans="1:10">
      <c r="A291" s="41" t="s">
        <v>1085</v>
      </c>
      <c r="B291" s="44" t="s">
        <v>1084</v>
      </c>
      <c r="C291" s="42">
        <v>1</v>
      </c>
      <c r="D291" s="44" t="s">
        <v>392</v>
      </c>
      <c r="E291" s="118">
        <v>0</v>
      </c>
      <c r="F291" s="162" t="s">
        <v>825</v>
      </c>
      <c r="G291" s="40">
        <v>2</v>
      </c>
      <c r="H291" s="40">
        <v>2</v>
      </c>
      <c r="I291" s="111" t="s">
        <v>1087</v>
      </c>
      <c r="J291" s="40"/>
    </row>
    <row r="292" spans="1:10">
      <c r="A292" s="41" t="s">
        <v>1085</v>
      </c>
      <c r="B292" s="44" t="s">
        <v>1084</v>
      </c>
      <c r="C292" s="25">
        <v>2</v>
      </c>
      <c r="D292" s="44" t="s">
        <v>706</v>
      </c>
      <c r="E292" s="118">
        <v>0</v>
      </c>
      <c r="F292" s="160" t="s">
        <v>825</v>
      </c>
      <c r="G292" s="40">
        <v>3</v>
      </c>
      <c r="H292" s="21">
        <f t="shared" ref="H292:H302" si="24">H291+G292</f>
        <v>5</v>
      </c>
      <c r="I292" s="111" t="s">
        <v>967</v>
      </c>
      <c r="J292" s="40"/>
    </row>
    <row r="293" spans="1:10">
      <c r="A293" s="41" t="s">
        <v>1085</v>
      </c>
      <c r="B293" s="44" t="s">
        <v>1084</v>
      </c>
      <c r="C293" s="25">
        <v>3</v>
      </c>
      <c r="D293" s="44" t="s">
        <v>350</v>
      </c>
      <c r="E293" s="118">
        <v>0</v>
      </c>
      <c r="F293" s="160" t="s">
        <v>825</v>
      </c>
      <c r="G293" s="40">
        <v>6</v>
      </c>
      <c r="H293" s="21">
        <f t="shared" si="24"/>
        <v>11</v>
      </c>
      <c r="I293" s="111" t="s">
        <v>689</v>
      </c>
      <c r="J293" s="40"/>
    </row>
    <row r="294" spans="1:10">
      <c r="A294" s="41" t="s">
        <v>1085</v>
      </c>
      <c r="B294" s="44" t="s">
        <v>1084</v>
      </c>
      <c r="C294" s="25">
        <v>4</v>
      </c>
      <c r="D294" s="111" t="s">
        <v>837</v>
      </c>
      <c r="E294" s="118">
        <v>0</v>
      </c>
      <c r="F294" s="160" t="s">
        <v>825</v>
      </c>
      <c r="G294" s="40">
        <v>12</v>
      </c>
      <c r="H294" s="21">
        <f t="shared" si="24"/>
        <v>23</v>
      </c>
      <c r="I294" s="111" t="s">
        <v>944</v>
      </c>
      <c r="J294" s="40"/>
    </row>
    <row r="295" spans="1:10">
      <c r="A295" s="41" t="s">
        <v>1085</v>
      </c>
      <c r="B295" s="44" t="s">
        <v>1084</v>
      </c>
      <c r="C295" s="25">
        <v>5</v>
      </c>
      <c r="D295" s="44" t="s">
        <v>802</v>
      </c>
      <c r="E295" s="118">
        <v>0</v>
      </c>
      <c r="F295" s="160" t="s">
        <v>825</v>
      </c>
      <c r="G295" s="40">
        <v>6</v>
      </c>
      <c r="H295" s="21">
        <f t="shared" si="24"/>
        <v>29</v>
      </c>
      <c r="I295" s="111" t="s">
        <v>225</v>
      </c>
      <c r="J295" s="40"/>
    </row>
    <row r="296" spans="1:10">
      <c r="A296" s="41" t="s">
        <v>1085</v>
      </c>
      <c r="B296" s="44" t="s">
        <v>1084</v>
      </c>
      <c r="C296" s="25">
        <v>6</v>
      </c>
      <c r="D296" s="44" t="s">
        <v>845</v>
      </c>
      <c r="E296" s="118">
        <v>0</v>
      </c>
      <c r="F296" s="160" t="s">
        <v>824</v>
      </c>
      <c r="G296" s="40">
        <v>9</v>
      </c>
      <c r="H296" s="21">
        <f t="shared" si="24"/>
        <v>38</v>
      </c>
      <c r="I296" s="111" t="s">
        <v>1441</v>
      </c>
      <c r="J296" s="40"/>
    </row>
    <row r="297" spans="1:10">
      <c r="A297" s="41" t="s">
        <v>1085</v>
      </c>
      <c r="B297" s="44" t="s">
        <v>1084</v>
      </c>
      <c r="C297" s="25">
        <v>7</v>
      </c>
      <c r="D297" s="44" t="s">
        <v>832</v>
      </c>
      <c r="E297" s="118">
        <v>0</v>
      </c>
      <c r="F297" s="160" t="s">
        <v>825</v>
      </c>
      <c r="G297" s="40">
        <v>1</v>
      </c>
      <c r="H297" s="21">
        <f t="shared" si="24"/>
        <v>39</v>
      </c>
      <c r="I297" s="111" t="s">
        <v>176</v>
      </c>
      <c r="J297" s="40"/>
    </row>
    <row r="298" spans="1:10">
      <c r="A298" s="41" t="s">
        <v>1085</v>
      </c>
      <c r="B298" s="44" t="s">
        <v>1084</v>
      </c>
      <c r="C298" s="25">
        <v>8</v>
      </c>
      <c r="D298" s="44" t="s">
        <v>347</v>
      </c>
      <c r="E298" s="118">
        <v>2</v>
      </c>
      <c r="F298" s="160" t="s">
        <v>824</v>
      </c>
      <c r="G298" s="40">
        <v>9</v>
      </c>
      <c r="H298" s="21">
        <f t="shared" si="24"/>
        <v>48</v>
      </c>
      <c r="I298" s="111" t="s">
        <v>701</v>
      </c>
      <c r="J298" s="40"/>
    </row>
    <row r="299" spans="1:10">
      <c r="A299" s="41" t="s">
        <v>1085</v>
      </c>
      <c r="B299" s="44" t="s">
        <v>1084</v>
      </c>
      <c r="C299" s="25">
        <v>9</v>
      </c>
      <c r="D299" s="44" t="s">
        <v>429</v>
      </c>
      <c r="E299" s="118">
        <v>0</v>
      </c>
      <c r="F299" s="160" t="s">
        <v>806</v>
      </c>
      <c r="G299" s="40">
        <v>12</v>
      </c>
      <c r="H299" s="21">
        <f t="shared" si="24"/>
        <v>60</v>
      </c>
      <c r="I299" s="111" t="s">
        <v>580</v>
      </c>
      <c r="J299" s="40"/>
    </row>
    <row r="300" spans="1:10">
      <c r="A300" s="41" t="s">
        <v>1085</v>
      </c>
      <c r="B300" s="44" t="s">
        <v>1084</v>
      </c>
      <c r="C300" s="25">
        <v>10</v>
      </c>
      <c r="D300" s="44" t="s">
        <v>398</v>
      </c>
      <c r="E300" s="118">
        <v>0</v>
      </c>
      <c r="F300" s="160" t="s">
        <v>806</v>
      </c>
      <c r="G300" s="40">
        <v>12</v>
      </c>
      <c r="H300" s="21">
        <f t="shared" si="24"/>
        <v>72</v>
      </c>
      <c r="I300" s="111" t="s">
        <v>469</v>
      </c>
      <c r="J300" s="40"/>
    </row>
    <row r="301" spans="1:10">
      <c r="A301" s="41" t="s">
        <v>1085</v>
      </c>
      <c r="B301" s="44" t="s">
        <v>1084</v>
      </c>
      <c r="C301" s="25">
        <v>11</v>
      </c>
      <c r="D301" s="44" t="s">
        <v>881</v>
      </c>
      <c r="E301" s="118">
        <v>0</v>
      </c>
      <c r="F301" s="160" t="s">
        <v>825</v>
      </c>
      <c r="G301" s="50">
        <v>4</v>
      </c>
      <c r="H301" s="21">
        <f t="shared" si="24"/>
        <v>76</v>
      </c>
      <c r="I301" s="111" t="s">
        <v>787</v>
      </c>
      <c r="J301" s="40"/>
    </row>
    <row r="302" spans="1:10">
      <c r="A302" s="41" t="s">
        <v>1085</v>
      </c>
      <c r="B302" s="199" t="s">
        <v>1084</v>
      </c>
      <c r="C302" s="25">
        <v>12</v>
      </c>
      <c r="D302" s="45" t="s">
        <v>39</v>
      </c>
      <c r="E302" s="119">
        <v>0</v>
      </c>
      <c r="F302" s="161" t="s">
        <v>825</v>
      </c>
      <c r="G302" s="114">
        <v>1</v>
      </c>
      <c r="H302" s="114">
        <f t="shared" si="24"/>
        <v>77</v>
      </c>
      <c r="I302" s="112" t="s">
        <v>544</v>
      </c>
      <c r="J302" s="40"/>
    </row>
    <row r="303" spans="1:10">
      <c r="A303" s="41" t="s">
        <v>857</v>
      </c>
      <c r="B303" s="44" t="s">
        <v>391</v>
      </c>
      <c r="C303" s="42">
        <v>1</v>
      </c>
      <c r="D303" s="111" t="s">
        <v>392</v>
      </c>
      <c r="E303" s="118">
        <v>0</v>
      </c>
      <c r="F303" s="162" t="s">
        <v>825</v>
      </c>
      <c r="G303" s="40">
        <v>2</v>
      </c>
      <c r="H303" s="40">
        <v>2</v>
      </c>
      <c r="I303" s="111" t="s">
        <v>139</v>
      </c>
      <c r="J303" s="40"/>
    </row>
    <row r="304" spans="1:10">
      <c r="A304" s="41" t="s">
        <v>857</v>
      </c>
      <c r="B304" s="44" t="s">
        <v>391</v>
      </c>
      <c r="C304" s="25">
        <v>2</v>
      </c>
      <c r="D304" s="44" t="s">
        <v>706</v>
      </c>
      <c r="E304" s="118">
        <v>0</v>
      </c>
      <c r="F304" s="160" t="s">
        <v>825</v>
      </c>
      <c r="G304" s="40">
        <v>3</v>
      </c>
      <c r="H304" s="21">
        <f t="shared" ref="H304:H320" si="25">H303+G304</f>
        <v>5</v>
      </c>
      <c r="I304" s="111" t="s">
        <v>967</v>
      </c>
      <c r="J304" s="50"/>
    </row>
    <row r="305" spans="1:10">
      <c r="A305" s="41" t="s">
        <v>857</v>
      </c>
      <c r="B305" s="48" t="s">
        <v>391</v>
      </c>
      <c r="C305" s="164">
        <v>3</v>
      </c>
      <c r="D305" s="113" t="s">
        <v>881</v>
      </c>
      <c r="E305" s="49">
        <v>0</v>
      </c>
      <c r="F305" s="109" t="s">
        <v>825</v>
      </c>
      <c r="G305" s="40">
        <v>4</v>
      </c>
      <c r="H305" s="21">
        <f t="shared" si="25"/>
        <v>9</v>
      </c>
      <c r="I305" s="111" t="s">
        <v>787</v>
      </c>
      <c r="J305" s="50"/>
    </row>
    <row r="306" spans="1:10">
      <c r="A306" s="41" t="s">
        <v>857</v>
      </c>
      <c r="B306" s="48" t="s">
        <v>391</v>
      </c>
      <c r="C306" s="135">
        <v>4</v>
      </c>
      <c r="D306" s="113" t="s">
        <v>350</v>
      </c>
      <c r="E306" s="49">
        <v>0</v>
      </c>
      <c r="F306" s="109" t="s">
        <v>825</v>
      </c>
      <c r="G306" s="40">
        <v>6</v>
      </c>
      <c r="H306" s="21">
        <f t="shared" si="25"/>
        <v>15</v>
      </c>
      <c r="I306" s="117" t="s">
        <v>689</v>
      </c>
      <c r="J306" s="50"/>
    </row>
    <row r="307" spans="1:10">
      <c r="A307" s="41" t="s">
        <v>857</v>
      </c>
      <c r="B307" s="48" t="s">
        <v>391</v>
      </c>
      <c r="C307" s="164">
        <v>5</v>
      </c>
      <c r="D307" s="113" t="s">
        <v>395</v>
      </c>
      <c r="E307" s="49">
        <v>0</v>
      </c>
      <c r="F307" s="109" t="s">
        <v>825</v>
      </c>
      <c r="G307" s="40">
        <v>8</v>
      </c>
      <c r="H307" s="21">
        <f t="shared" si="25"/>
        <v>23</v>
      </c>
      <c r="I307" s="111" t="s">
        <v>353</v>
      </c>
      <c r="J307" s="50"/>
    </row>
    <row r="308" spans="1:10" ht="22.5">
      <c r="A308" s="41" t="s">
        <v>857</v>
      </c>
      <c r="B308" s="48" t="s">
        <v>391</v>
      </c>
      <c r="C308" s="164">
        <v>6</v>
      </c>
      <c r="D308" s="113" t="s">
        <v>405</v>
      </c>
      <c r="E308" s="49">
        <v>0</v>
      </c>
      <c r="F308" s="109" t="s">
        <v>825</v>
      </c>
      <c r="G308" s="40">
        <v>6</v>
      </c>
      <c r="H308" s="21">
        <f t="shared" si="25"/>
        <v>29</v>
      </c>
      <c r="I308" s="111" t="s">
        <v>254</v>
      </c>
      <c r="J308" s="50"/>
    </row>
    <row r="309" spans="1:10">
      <c r="A309" s="41" t="s">
        <v>857</v>
      </c>
      <c r="B309" s="48" t="s">
        <v>391</v>
      </c>
      <c r="C309" s="135">
        <v>7</v>
      </c>
      <c r="D309" s="113" t="s">
        <v>485</v>
      </c>
      <c r="E309" s="49">
        <v>4</v>
      </c>
      <c r="F309" s="122" t="s">
        <v>824</v>
      </c>
      <c r="G309" s="40">
        <v>10</v>
      </c>
      <c r="H309" s="21">
        <f t="shared" si="25"/>
        <v>39</v>
      </c>
      <c r="I309" s="111" t="s">
        <v>909</v>
      </c>
      <c r="J309" s="50"/>
    </row>
    <row r="310" spans="1:10">
      <c r="A310" s="41" t="s">
        <v>857</v>
      </c>
      <c r="B310" s="48" t="s">
        <v>391</v>
      </c>
      <c r="C310" s="164">
        <v>8</v>
      </c>
      <c r="D310" s="113" t="s">
        <v>475</v>
      </c>
      <c r="E310" s="49">
        <v>4</v>
      </c>
      <c r="F310" s="122" t="s">
        <v>824</v>
      </c>
      <c r="G310" s="40">
        <v>10</v>
      </c>
      <c r="H310" s="21">
        <f t="shared" si="25"/>
        <v>49</v>
      </c>
      <c r="I310" s="111" t="s">
        <v>909</v>
      </c>
      <c r="J310" s="50"/>
    </row>
    <row r="311" spans="1:10">
      <c r="A311" s="41" t="s">
        <v>857</v>
      </c>
      <c r="B311" s="48" t="s">
        <v>391</v>
      </c>
      <c r="C311" s="164">
        <v>9</v>
      </c>
      <c r="D311" s="113" t="s">
        <v>470</v>
      </c>
      <c r="E311" s="49">
        <v>4</v>
      </c>
      <c r="F311" s="122" t="s">
        <v>824</v>
      </c>
      <c r="G311" s="40">
        <v>10</v>
      </c>
      <c r="H311" s="21">
        <f t="shared" si="25"/>
        <v>59</v>
      </c>
      <c r="I311" s="111" t="s">
        <v>909</v>
      </c>
      <c r="J311" s="50"/>
    </row>
    <row r="312" spans="1:10">
      <c r="A312" s="41" t="s">
        <v>857</v>
      </c>
      <c r="B312" s="48" t="s">
        <v>391</v>
      </c>
      <c r="C312" s="135">
        <v>10</v>
      </c>
      <c r="D312" s="113" t="s">
        <v>904</v>
      </c>
      <c r="E312" s="49">
        <v>4</v>
      </c>
      <c r="F312" s="122" t="s">
        <v>824</v>
      </c>
      <c r="G312" s="40">
        <v>10</v>
      </c>
      <c r="H312" s="21">
        <f t="shared" si="25"/>
        <v>69</v>
      </c>
      <c r="I312" s="111" t="s">
        <v>630</v>
      </c>
      <c r="J312" s="50"/>
    </row>
    <row r="313" spans="1:10">
      <c r="A313" s="41" t="s">
        <v>857</v>
      </c>
      <c r="B313" s="48" t="s">
        <v>391</v>
      </c>
      <c r="C313" s="164">
        <v>11</v>
      </c>
      <c r="D313" s="113" t="s">
        <v>905</v>
      </c>
      <c r="E313" s="49">
        <v>4</v>
      </c>
      <c r="F313" s="122" t="s">
        <v>824</v>
      </c>
      <c r="G313" s="40">
        <v>10</v>
      </c>
      <c r="H313" s="21">
        <f t="shared" si="25"/>
        <v>79</v>
      </c>
      <c r="I313" s="111" t="s">
        <v>630</v>
      </c>
      <c r="J313" s="50"/>
    </row>
    <row r="314" spans="1:10">
      <c r="A314" s="41" t="s">
        <v>857</v>
      </c>
      <c r="B314" s="48" t="s">
        <v>391</v>
      </c>
      <c r="C314" s="164">
        <v>12</v>
      </c>
      <c r="D314" s="113" t="s">
        <v>483</v>
      </c>
      <c r="E314" s="49">
        <v>2</v>
      </c>
      <c r="F314" s="122" t="s">
        <v>824</v>
      </c>
      <c r="G314" s="40">
        <v>9</v>
      </c>
      <c r="H314" s="21">
        <f t="shared" si="25"/>
        <v>88</v>
      </c>
      <c r="I314" s="111" t="s">
        <v>641</v>
      </c>
      <c r="J314" s="50"/>
    </row>
    <row r="315" spans="1:10">
      <c r="A315" s="41" t="s">
        <v>857</v>
      </c>
      <c r="B315" s="48" t="s">
        <v>391</v>
      </c>
      <c r="C315" s="135">
        <v>13</v>
      </c>
      <c r="D315" s="113" t="s">
        <v>468</v>
      </c>
      <c r="E315" s="49">
        <v>3</v>
      </c>
      <c r="F315" s="122" t="s">
        <v>824</v>
      </c>
      <c r="G315" s="40">
        <v>6</v>
      </c>
      <c r="H315" s="21">
        <f t="shared" si="25"/>
        <v>94</v>
      </c>
      <c r="I315" s="111" t="s">
        <v>214</v>
      </c>
      <c r="J315" s="50"/>
    </row>
    <row r="316" spans="1:10">
      <c r="A316" s="41" t="s">
        <v>857</v>
      </c>
      <c r="B316" s="48" t="s">
        <v>391</v>
      </c>
      <c r="C316" s="164">
        <v>14</v>
      </c>
      <c r="D316" s="113" t="s">
        <v>478</v>
      </c>
      <c r="E316" s="49">
        <v>3</v>
      </c>
      <c r="F316" s="122" t="s">
        <v>824</v>
      </c>
      <c r="G316" s="40">
        <v>6</v>
      </c>
      <c r="H316" s="21">
        <f t="shared" si="25"/>
        <v>100</v>
      </c>
      <c r="I316" s="111" t="s">
        <v>601</v>
      </c>
      <c r="J316" s="50"/>
    </row>
    <row r="317" spans="1:10">
      <c r="A317" s="41" t="s">
        <v>857</v>
      </c>
      <c r="B317" s="48" t="s">
        <v>391</v>
      </c>
      <c r="C317" s="164">
        <v>15</v>
      </c>
      <c r="D317" s="113" t="s">
        <v>351</v>
      </c>
      <c r="E317" s="49">
        <v>3</v>
      </c>
      <c r="F317" s="122" t="s">
        <v>824</v>
      </c>
      <c r="G317" s="40">
        <v>6</v>
      </c>
      <c r="H317" s="21">
        <f t="shared" si="25"/>
        <v>106</v>
      </c>
      <c r="I317" s="111" t="s">
        <v>384</v>
      </c>
      <c r="J317" s="50"/>
    </row>
    <row r="318" spans="1:10">
      <c r="A318" s="41" t="s">
        <v>857</v>
      </c>
      <c r="B318" s="48" t="s">
        <v>391</v>
      </c>
      <c r="C318" s="135">
        <v>16</v>
      </c>
      <c r="D318" s="113" t="s">
        <v>473</v>
      </c>
      <c r="E318" s="49">
        <v>3</v>
      </c>
      <c r="F318" s="122" t="s">
        <v>824</v>
      </c>
      <c r="G318" s="40">
        <v>6</v>
      </c>
      <c r="H318" s="21">
        <f t="shared" si="25"/>
        <v>112</v>
      </c>
      <c r="I318" s="111" t="s">
        <v>384</v>
      </c>
      <c r="J318" s="50"/>
    </row>
    <row r="319" spans="1:10">
      <c r="A319" s="41" t="s">
        <v>857</v>
      </c>
      <c r="B319" s="48" t="s">
        <v>391</v>
      </c>
      <c r="C319" s="164">
        <v>17</v>
      </c>
      <c r="D319" s="113" t="s">
        <v>881</v>
      </c>
      <c r="E319" s="49">
        <v>0</v>
      </c>
      <c r="F319" s="109" t="s">
        <v>825</v>
      </c>
      <c r="G319" s="40">
        <v>1</v>
      </c>
      <c r="H319" s="21">
        <f t="shared" si="25"/>
        <v>113</v>
      </c>
      <c r="I319" s="111" t="s">
        <v>787</v>
      </c>
      <c r="J319" s="50"/>
    </row>
    <row r="320" spans="1:10">
      <c r="A320" s="41" t="s">
        <v>857</v>
      </c>
      <c r="B320" s="45" t="s">
        <v>391</v>
      </c>
      <c r="C320" s="165">
        <v>18</v>
      </c>
      <c r="D320" s="108" t="s">
        <v>39</v>
      </c>
      <c r="E320" s="39">
        <v>0</v>
      </c>
      <c r="F320" s="121" t="s">
        <v>825</v>
      </c>
      <c r="G320" s="114">
        <v>1</v>
      </c>
      <c r="H320" s="114">
        <f t="shared" si="25"/>
        <v>114</v>
      </c>
      <c r="I320" s="112" t="s">
        <v>544</v>
      </c>
      <c r="J320" s="114"/>
    </row>
    <row r="321" spans="1:10">
      <c r="A321" s="41" t="s">
        <v>786</v>
      </c>
      <c r="B321" s="44" t="s">
        <v>383</v>
      </c>
      <c r="C321" s="42">
        <v>1</v>
      </c>
      <c r="D321" s="111" t="s">
        <v>392</v>
      </c>
      <c r="E321" s="118">
        <v>0</v>
      </c>
      <c r="F321" s="120" t="s">
        <v>825</v>
      </c>
      <c r="G321" s="40">
        <v>2</v>
      </c>
      <c r="H321" s="40">
        <v>2</v>
      </c>
      <c r="I321" s="111" t="s">
        <v>119</v>
      </c>
      <c r="J321" s="40"/>
    </row>
    <row r="322" spans="1:10">
      <c r="A322" s="41" t="s">
        <v>786</v>
      </c>
      <c r="B322" s="44" t="s">
        <v>383</v>
      </c>
      <c r="C322" s="25">
        <v>2</v>
      </c>
      <c r="D322" s="44" t="s">
        <v>929</v>
      </c>
      <c r="E322" s="118">
        <v>0</v>
      </c>
      <c r="F322" s="160" t="s">
        <v>825</v>
      </c>
      <c r="G322" s="40">
        <v>3</v>
      </c>
      <c r="H322" s="21">
        <f t="shared" ref="H322:H338" si="26">H321+G322</f>
        <v>5</v>
      </c>
      <c r="I322" s="111" t="s">
        <v>967</v>
      </c>
      <c r="J322" s="50"/>
    </row>
    <row r="323" spans="1:10">
      <c r="A323" s="41" t="s">
        <v>786</v>
      </c>
      <c r="B323" s="48" t="s">
        <v>383</v>
      </c>
      <c r="C323" s="164">
        <v>3</v>
      </c>
      <c r="D323" s="113" t="s">
        <v>881</v>
      </c>
      <c r="E323" s="49">
        <v>0</v>
      </c>
      <c r="F323" s="109" t="s">
        <v>825</v>
      </c>
      <c r="G323" s="40">
        <v>4</v>
      </c>
      <c r="H323" s="21">
        <f t="shared" si="26"/>
        <v>9</v>
      </c>
      <c r="I323" s="111" t="s">
        <v>787</v>
      </c>
      <c r="J323" s="50"/>
    </row>
    <row r="324" spans="1:10">
      <c r="A324" s="41" t="s">
        <v>786</v>
      </c>
      <c r="B324" s="48" t="s">
        <v>383</v>
      </c>
      <c r="C324" s="135">
        <v>4</v>
      </c>
      <c r="D324" s="113" t="s">
        <v>350</v>
      </c>
      <c r="E324" s="49">
        <v>0</v>
      </c>
      <c r="F324" s="109" t="s">
        <v>825</v>
      </c>
      <c r="G324" s="40">
        <v>6</v>
      </c>
      <c r="H324" s="21">
        <f t="shared" si="26"/>
        <v>15</v>
      </c>
      <c r="I324" s="117" t="s">
        <v>689</v>
      </c>
      <c r="J324" s="50"/>
    </row>
    <row r="325" spans="1:10">
      <c r="A325" s="41" t="s">
        <v>786</v>
      </c>
      <c r="B325" s="48" t="s">
        <v>383</v>
      </c>
      <c r="C325" s="164">
        <v>5</v>
      </c>
      <c r="D325" s="113" t="s">
        <v>395</v>
      </c>
      <c r="E325" s="49">
        <v>0</v>
      </c>
      <c r="F325" s="109" t="s">
        <v>825</v>
      </c>
      <c r="G325" s="40">
        <v>8</v>
      </c>
      <c r="H325" s="21">
        <f t="shared" si="26"/>
        <v>23</v>
      </c>
      <c r="I325" s="111" t="s">
        <v>353</v>
      </c>
      <c r="J325" s="50"/>
    </row>
    <row r="326" spans="1:10" ht="22.5">
      <c r="A326" s="41" t="s">
        <v>786</v>
      </c>
      <c r="B326" s="48" t="s">
        <v>383</v>
      </c>
      <c r="C326" s="135">
        <v>6</v>
      </c>
      <c r="D326" s="113" t="s">
        <v>405</v>
      </c>
      <c r="E326" s="49">
        <v>0</v>
      </c>
      <c r="F326" s="109" t="s">
        <v>825</v>
      </c>
      <c r="G326" s="40">
        <v>6</v>
      </c>
      <c r="H326" s="21">
        <f t="shared" si="26"/>
        <v>29</v>
      </c>
      <c r="I326" s="111" t="s">
        <v>254</v>
      </c>
      <c r="J326" s="50"/>
    </row>
    <row r="327" spans="1:10">
      <c r="A327" s="41" t="s">
        <v>786</v>
      </c>
      <c r="B327" s="48" t="s">
        <v>383</v>
      </c>
      <c r="C327" s="164">
        <v>7</v>
      </c>
      <c r="D327" s="113" t="s">
        <v>485</v>
      </c>
      <c r="E327" s="49">
        <v>4</v>
      </c>
      <c r="F327" s="122" t="s">
        <v>824</v>
      </c>
      <c r="G327" s="40">
        <v>10</v>
      </c>
      <c r="H327" s="21">
        <f t="shared" si="26"/>
        <v>39</v>
      </c>
      <c r="I327" s="111" t="s">
        <v>909</v>
      </c>
      <c r="J327" s="50"/>
    </row>
    <row r="328" spans="1:10">
      <c r="A328" s="41" t="s">
        <v>786</v>
      </c>
      <c r="B328" s="48" t="s">
        <v>383</v>
      </c>
      <c r="C328" s="135">
        <v>8</v>
      </c>
      <c r="D328" s="113" t="s">
        <v>475</v>
      </c>
      <c r="E328" s="49">
        <v>4</v>
      </c>
      <c r="F328" s="122" t="s">
        <v>824</v>
      </c>
      <c r="G328" s="40">
        <v>10</v>
      </c>
      <c r="H328" s="21">
        <f t="shared" si="26"/>
        <v>49</v>
      </c>
      <c r="I328" s="111" t="s">
        <v>909</v>
      </c>
      <c r="J328" s="50"/>
    </row>
    <row r="329" spans="1:10">
      <c r="A329" s="41" t="s">
        <v>786</v>
      </c>
      <c r="B329" s="48" t="s">
        <v>383</v>
      </c>
      <c r="C329" s="164">
        <v>9</v>
      </c>
      <c r="D329" s="113" t="s">
        <v>470</v>
      </c>
      <c r="E329" s="49">
        <v>4</v>
      </c>
      <c r="F329" s="122" t="s">
        <v>824</v>
      </c>
      <c r="G329" s="40">
        <v>10</v>
      </c>
      <c r="H329" s="21">
        <f t="shared" si="26"/>
        <v>59</v>
      </c>
      <c r="I329" s="111" t="s">
        <v>909</v>
      </c>
      <c r="J329" s="50"/>
    </row>
    <row r="330" spans="1:10">
      <c r="A330" s="41" t="s">
        <v>786</v>
      </c>
      <c r="B330" s="48" t="s">
        <v>383</v>
      </c>
      <c r="C330" s="135">
        <v>10</v>
      </c>
      <c r="D330" s="113" t="s">
        <v>904</v>
      </c>
      <c r="E330" s="49">
        <v>4</v>
      </c>
      <c r="F330" s="122" t="s">
        <v>824</v>
      </c>
      <c r="G330" s="40">
        <v>10</v>
      </c>
      <c r="H330" s="21">
        <f t="shared" si="26"/>
        <v>69</v>
      </c>
      <c r="I330" s="111" t="s">
        <v>630</v>
      </c>
      <c r="J330" s="50"/>
    </row>
    <row r="331" spans="1:10">
      <c r="A331" s="41" t="s">
        <v>786</v>
      </c>
      <c r="B331" s="48" t="s">
        <v>383</v>
      </c>
      <c r="C331" s="164">
        <v>11</v>
      </c>
      <c r="D331" s="113" t="s">
        <v>905</v>
      </c>
      <c r="E331" s="49">
        <v>4</v>
      </c>
      <c r="F331" s="122" t="s">
        <v>824</v>
      </c>
      <c r="G331" s="40">
        <v>10</v>
      </c>
      <c r="H331" s="21">
        <f t="shared" si="26"/>
        <v>79</v>
      </c>
      <c r="I331" s="111" t="s">
        <v>630</v>
      </c>
      <c r="J331" s="50"/>
    </row>
    <row r="332" spans="1:10">
      <c r="A332" s="41" t="s">
        <v>786</v>
      </c>
      <c r="B332" s="48" t="s">
        <v>383</v>
      </c>
      <c r="C332" s="135">
        <v>12</v>
      </c>
      <c r="D332" s="113" t="s">
        <v>483</v>
      </c>
      <c r="E332" s="49">
        <v>2</v>
      </c>
      <c r="F332" s="122" t="s">
        <v>824</v>
      </c>
      <c r="G332" s="40">
        <v>9</v>
      </c>
      <c r="H332" s="21">
        <f t="shared" si="26"/>
        <v>88</v>
      </c>
      <c r="I332" s="111" t="s">
        <v>641</v>
      </c>
      <c r="J332" s="50"/>
    </row>
    <row r="333" spans="1:10">
      <c r="A333" s="41" t="s">
        <v>786</v>
      </c>
      <c r="B333" s="48" t="s">
        <v>383</v>
      </c>
      <c r="C333" s="164">
        <v>13</v>
      </c>
      <c r="D333" s="113" t="s">
        <v>468</v>
      </c>
      <c r="E333" s="49">
        <v>3</v>
      </c>
      <c r="F333" s="122" t="s">
        <v>824</v>
      </c>
      <c r="G333" s="40">
        <v>6</v>
      </c>
      <c r="H333" s="21">
        <f t="shared" si="26"/>
        <v>94</v>
      </c>
      <c r="I333" s="111" t="s">
        <v>214</v>
      </c>
      <c r="J333" s="50"/>
    </row>
    <row r="334" spans="1:10">
      <c r="A334" s="41" t="s">
        <v>786</v>
      </c>
      <c r="B334" s="48" t="s">
        <v>383</v>
      </c>
      <c r="C334" s="135">
        <v>14</v>
      </c>
      <c r="D334" s="113" t="s">
        <v>478</v>
      </c>
      <c r="E334" s="49">
        <v>3</v>
      </c>
      <c r="F334" s="122" t="s">
        <v>824</v>
      </c>
      <c r="G334" s="40">
        <v>6</v>
      </c>
      <c r="H334" s="21">
        <f t="shared" si="26"/>
        <v>100</v>
      </c>
      <c r="I334" s="111" t="s">
        <v>601</v>
      </c>
      <c r="J334" s="50"/>
    </row>
    <row r="335" spans="1:10">
      <c r="A335" s="41" t="s">
        <v>786</v>
      </c>
      <c r="B335" s="48" t="s">
        <v>383</v>
      </c>
      <c r="C335" s="164">
        <v>15</v>
      </c>
      <c r="D335" s="113" t="s">
        <v>351</v>
      </c>
      <c r="E335" s="49">
        <v>3</v>
      </c>
      <c r="F335" s="122" t="s">
        <v>824</v>
      </c>
      <c r="G335" s="40">
        <v>6</v>
      </c>
      <c r="H335" s="21">
        <f t="shared" si="26"/>
        <v>106</v>
      </c>
      <c r="I335" s="111" t="s">
        <v>384</v>
      </c>
      <c r="J335" s="50"/>
    </row>
    <row r="336" spans="1:10">
      <c r="A336" s="41" t="s">
        <v>786</v>
      </c>
      <c r="B336" s="48" t="s">
        <v>383</v>
      </c>
      <c r="C336" s="135">
        <v>16</v>
      </c>
      <c r="D336" s="113" t="s">
        <v>473</v>
      </c>
      <c r="E336" s="49">
        <v>3</v>
      </c>
      <c r="F336" s="122" t="s">
        <v>824</v>
      </c>
      <c r="G336" s="40">
        <v>6</v>
      </c>
      <c r="H336" s="21">
        <f t="shared" si="26"/>
        <v>112</v>
      </c>
      <c r="I336" s="111" t="s">
        <v>384</v>
      </c>
      <c r="J336" s="50"/>
    </row>
    <row r="337" spans="1:10">
      <c r="A337" s="41" t="s">
        <v>786</v>
      </c>
      <c r="B337" s="48" t="s">
        <v>383</v>
      </c>
      <c r="C337" s="164">
        <v>17</v>
      </c>
      <c r="D337" s="113" t="s">
        <v>881</v>
      </c>
      <c r="E337" s="49">
        <v>0</v>
      </c>
      <c r="F337" s="109" t="s">
        <v>825</v>
      </c>
      <c r="G337" s="40">
        <v>1</v>
      </c>
      <c r="H337" s="21">
        <f t="shared" si="26"/>
        <v>113</v>
      </c>
      <c r="I337" s="111" t="s">
        <v>787</v>
      </c>
      <c r="J337" s="50"/>
    </row>
    <row r="338" spans="1:10">
      <c r="A338" s="41" t="s">
        <v>786</v>
      </c>
      <c r="B338" s="45" t="s">
        <v>383</v>
      </c>
      <c r="C338" s="146">
        <v>18</v>
      </c>
      <c r="D338" s="108" t="s">
        <v>39</v>
      </c>
      <c r="E338" s="39">
        <v>0</v>
      </c>
      <c r="F338" s="121" t="s">
        <v>825</v>
      </c>
      <c r="G338" s="114">
        <v>1</v>
      </c>
      <c r="H338" s="114">
        <f t="shared" si="26"/>
        <v>114</v>
      </c>
      <c r="I338" s="112" t="s">
        <v>544</v>
      </c>
      <c r="J338" s="114"/>
    </row>
    <row r="339" spans="1:10">
      <c r="A339" s="41" t="s">
        <v>859</v>
      </c>
      <c r="B339" s="44" t="s">
        <v>370</v>
      </c>
      <c r="C339" s="42">
        <v>1</v>
      </c>
      <c r="D339" s="111" t="s">
        <v>392</v>
      </c>
      <c r="E339" s="118">
        <v>0</v>
      </c>
      <c r="F339" s="120" t="s">
        <v>825</v>
      </c>
      <c r="G339" s="40">
        <v>2</v>
      </c>
      <c r="H339" s="40">
        <v>2</v>
      </c>
      <c r="I339" s="111" t="s">
        <v>151</v>
      </c>
      <c r="J339" s="40"/>
    </row>
    <row r="340" spans="1:10">
      <c r="A340" s="41" t="s">
        <v>859</v>
      </c>
      <c r="B340" s="44" t="s">
        <v>370</v>
      </c>
      <c r="C340" s="25">
        <v>2</v>
      </c>
      <c r="D340" s="111" t="s">
        <v>929</v>
      </c>
      <c r="E340" s="118">
        <v>0</v>
      </c>
      <c r="F340" s="160" t="s">
        <v>825</v>
      </c>
      <c r="G340" s="40">
        <v>3</v>
      </c>
      <c r="H340" s="21">
        <f t="shared" ref="H340:H356" si="27">H339+G340</f>
        <v>5</v>
      </c>
      <c r="I340" s="111" t="s">
        <v>967</v>
      </c>
      <c r="J340" s="50"/>
    </row>
    <row r="341" spans="1:10">
      <c r="A341" s="41" t="s">
        <v>859</v>
      </c>
      <c r="B341" s="48" t="s">
        <v>370</v>
      </c>
      <c r="C341" s="164">
        <v>3</v>
      </c>
      <c r="D341" s="113" t="s">
        <v>881</v>
      </c>
      <c r="E341" s="49">
        <v>0</v>
      </c>
      <c r="F341" s="109" t="s">
        <v>825</v>
      </c>
      <c r="G341" s="40">
        <v>4</v>
      </c>
      <c r="H341" s="21">
        <f t="shared" si="27"/>
        <v>9</v>
      </c>
      <c r="I341" s="111" t="s">
        <v>787</v>
      </c>
      <c r="J341" s="50"/>
    </row>
    <row r="342" spans="1:10">
      <c r="A342" s="41" t="s">
        <v>859</v>
      </c>
      <c r="B342" s="48" t="s">
        <v>370</v>
      </c>
      <c r="C342" s="135">
        <v>4</v>
      </c>
      <c r="D342" s="113" t="s">
        <v>350</v>
      </c>
      <c r="E342" s="49">
        <v>0</v>
      </c>
      <c r="F342" s="109" t="s">
        <v>825</v>
      </c>
      <c r="G342" s="40">
        <v>6</v>
      </c>
      <c r="H342" s="21">
        <f t="shared" si="27"/>
        <v>15</v>
      </c>
      <c r="I342" s="117" t="s">
        <v>689</v>
      </c>
      <c r="J342" s="50"/>
    </row>
    <row r="343" spans="1:10">
      <c r="A343" s="41" t="s">
        <v>859</v>
      </c>
      <c r="B343" s="48" t="s">
        <v>370</v>
      </c>
      <c r="C343" s="164">
        <v>5</v>
      </c>
      <c r="D343" s="113" t="s">
        <v>395</v>
      </c>
      <c r="E343" s="49">
        <v>0</v>
      </c>
      <c r="F343" s="109" t="s">
        <v>825</v>
      </c>
      <c r="G343" s="40">
        <v>8</v>
      </c>
      <c r="H343" s="21">
        <f t="shared" si="27"/>
        <v>23</v>
      </c>
      <c r="I343" s="111" t="s">
        <v>353</v>
      </c>
      <c r="J343" s="50"/>
    </row>
    <row r="344" spans="1:10" ht="22.5">
      <c r="A344" s="41" t="s">
        <v>859</v>
      </c>
      <c r="B344" s="48" t="s">
        <v>370</v>
      </c>
      <c r="C344" s="135">
        <v>6</v>
      </c>
      <c r="D344" s="113" t="s">
        <v>405</v>
      </c>
      <c r="E344" s="49">
        <v>0</v>
      </c>
      <c r="F344" s="109" t="s">
        <v>825</v>
      </c>
      <c r="G344" s="40">
        <v>6</v>
      </c>
      <c r="H344" s="21">
        <f t="shared" si="27"/>
        <v>29</v>
      </c>
      <c r="I344" s="111" t="s">
        <v>194</v>
      </c>
      <c r="J344" s="50"/>
    </row>
    <row r="345" spans="1:10">
      <c r="A345" s="41" t="s">
        <v>859</v>
      </c>
      <c r="B345" s="48" t="s">
        <v>370</v>
      </c>
      <c r="C345" s="164">
        <v>7</v>
      </c>
      <c r="D345" s="113" t="s">
        <v>485</v>
      </c>
      <c r="E345" s="49">
        <v>4</v>
      </c>
      <c r="F345" s="122" t="s">
        <v>824</v>
      </c>
      <c r="G345" s="40">
        <v>10</v>
      </c>
      <c r="H345" s="21">
        <f t="shared" si="27"/>
        <v>39</v>
      </c>
      <c r="I345" s="111" t="s">
        <v>630</v>
      </c>
      <c r="J345" s="50"/>
    </row>
    <row r="346" spans="1:10">
      <c r="A346" s="41" t="s">
        <v>859</v>
      </c>
      <c r="B346" s="48" t="s">
        <v>370</v>
      </c>
      <c r="C346" s="135">
        <v>8</v>
      </c>
      <c r="D346" s="113" t="s">
        <v>475</v>
      </c>
      <c r="E346" s="49">
        <v>4</v>
      </c>
      <c r="F346" s="122" t="s">
        <v>824</v>
      </c>
      <c r="G346" s="40">
        <v>10</v>
      </c>
      <c r="H346" s="21">
        <f t="shared" si="27"/>
        <v>49</v>
      </c>
      <c r="I346" s="111" t="s">
        <v>630</v>
      </c>
      <c r="J346" s="50"/>
    </row>
    <row r="347" spans="1:10">
      <c r="A347" s="41" t="s">
        <v>859</v>
      </c>
      <c r="B347" s="48" t="s">
        <v>370</v>
      </c>
      <c r="C347" s="164">
        <v>9</v>
      </c>
      <c r="D347" s="113" t="s">
        <v>470</v>
      </c>
      <c r="E347" s="49">
        <v>4</v>
      </c>
      <c r="F347" s="122" t="s">
        <v>824</v>
      </c>
      <c r="G347" s="40">
        <v>10</v>
      </c>
      <c r="H347" s="21">
        <f t="shared" si="27"/>
        <v>59</v>
      </c>
      <c r="I347" s="111" t="s">
        <v>630</v>
      </c>
      <c r="J347" s="50"/>
    </row>
    <row r="348" spans="1:10">
      <c r="A348" s="41" t="s">
        <v>859</v>
      </c>
      <c r="B348" s="48" t="s">
        <v>370</v>
      </c>
      <c r="C348" s="135">
        <v>10</v>
      </c>
      <c r="D348" s="113" t="s">
        <v>904</v>
      </c>
      <c r="E348" s="49">
        <v>4</v>
      </c>
      <c r="F348" s="122" t="s">
        <v>824</v>
      </c>
      <c r="G348" s="40">
        <v>10</v>
      </c>
      <c r="H348" s="21">
        <f t="shared" si="27"/>
        <v>69</v>
      </c>
      <c r="I348" s="111" t="s">
        <v>630</v>
      </c>
      <c r="J348" s="50"/>
    </row>
    <row r="349" spans="1:10">
      <c r="A349" s="41" t="s">
        <v>859</v>
      </c>
      <c r="B349" s="48" t="s">
        <v>370</v>
      </c>
      <c r="C349" s="164">
        <v>11</v>
      </c>
      <c r="D349" s="113" t="s">
        <v>905</v>
      </c>
      <c r="E349" s="49">
        <v>4</v>
      </c>
      <c r="F349" s="122" t="s">
        <v>824</v>
      </c>
      <c r="G349" s="40">
        <v>10</v>
      </c>
      <c r="H349" s="21">
        <f t="shared" si="27"/>
        <v>79</v>
      </c>
      <c r="I349" s="111" t="s">
        <v>630</v>
      </c>
      <c r="J349" s="50"/>
    </row>
    <row r="350" spans="1:10">
      <c r="A350" s="41" t="s">
        <v>859</v>
      </c>
      <c r="B350" s="48" t="s">
        <v>370</v>
      </c>
      <c r="C350" s="135">
        <v>12</v>
      </c>
      <c r="D350" s="113" t="s">
        <v>483</v>
      </c>
      <c r="E350" s="49">
        <v>2</v>
      </c>
      <c r="F350" s="122" t="s">
        <v>824</v>
      </c>
      <c r="G350" s="40">
        <v>9</v>
      </c>
      <c r="H350" s="21">
        <f t="shared" si="27"/>
        <v>88</v>
      </c>
      <c r="I350" s="111" t="s">
        <v>641</v>
      </c>
      <c r="J350" s="50"/>
    </row>
    <row r="351" spans="1:10">
      <c r="A351" s="41" t="s">
        <v>859</v>
      </c>
      <c r="B351" s="48" t="s">
        <v>370</v>
      </c>
      <c r="C351" s="164">
        <v>13</v>
      </c>
      <c r="D351" s="113" t="s">
        <v>468</v>
      </c>
      <c r="E351" s="49">
        <v>3</v>
      </c>
      <c r="F351" s="122" t="s">
        <v>824</v>
      </c>
      <c r="G351" s="40">
        <v>6</v>
      </c>
      <c r="H351" s="21">
        <f t="shared" si="27"/>
        <v>94</v>
      </c>
      <c r="I351" s="111" t="s">
        <v>601</v>
      </c>
      <c r="J351" s="50"/>
    </row>
    <row r="352" spans="1:10">
      <c r="A352" s="41" t="s">
        <v>859</v>
      </c>
      <c r="B352" s="48" t="s">
        <v>370</v>
      </c>
      <c r="C352" s="135">
        <v>14</v>
      </c>
      <c r="D352" s="113" t="s">
        <v>478</v>
      </c>
      <c r="E352" s="49">
        <v>3</v>
      </c>
      <c r="F352" s="122" t="s">
        <v>824</v>
      </c>
      <c r="G352" s="40">
        <v>6</v>
      </c>
      <c r="H352" s="21">
        <f t="shared" si="27"/>
        <v>100</v>
      </c>
      <c r="I352" s="111" t="s">
        <v>601</v>
      </c>
      <c r="J352" s="50"/>
    </row>
    <row r="353" spans="1:10">
      <c r="A353" s="41" t="s">
        <v>859</v>
      </c>
      <c r="B353" s="48" t="s">
        <v>370</v>
      </c>
      <c r="C353" s="164">
        <v>15</v>
      </c>
      <c r="D353" s="113" t="s">
        <v>351</v>
      </c>
      <c r="E353" s="49">
        <v>3</v>
      </c>
      <c r="F353" s="122" t="s">
        <v>824</v>
      </c>
      <c r="G353" s="40">
        <v>6</v>
      </c>
      <c r="H353" s="21">
        <f t="shared" si="27"/>
        <v>106</v>
      </c>
      <c r="I353" s="111" t="s">
        <v>384</v>
      </c>
      <c r="J353" s="50"/>
    </row>
    <row r="354" spans="1:10">
      <c r="A354" s="41" t="s">
        <v>859</v>
      </c>
      <c r="B354" s="48" t="s">
        <v>370</v>
      </c>
      <c r="C354" s="135">
        <v>16</v>
      </c>
      <c r="D354" s="113" t="s">
        <v>473</v>
      </c>
      <c r="E354" s="49">
        <v>3</v>
      </c>
      <c r="F354" s="122" t="s">
        <v>824</v>
      </c>
      <c r="G354" s="40">
        <v>6</v>
      </c>
      <c r="H354" s="21">
        <f t="shared" si="27"/>
        <v>112</v>
      </c>
      <c r="I354" s="111" t="s">
        <v>384</v>
      </c>
      <c r="J354" s="50"/>
    </row>
    <row r="355" spans="1:10">
      <c r="A355" s="41" t="s">
        <v>859</v>
      </c>
      <c r="B355" s="48" t="s">
        <v>370</v>
      </c>
      <c r="C355" s="164">
        <v>17</v>
      </c>
      <c r="D355" s="113" t="s">
        <v>881</v>
      </c>
      <c r="E355" s="49">
        <v>0</v>
      </c>
      <c r="F355" s="109" t="s">
        <v>825</v>
      </c>
      <c r="G355" s="40">
        <v>1</v>
      </c>
      <c r="H355" s="21">
        <f t="shared" si="27"/>
        <v>113</v>
      </c>
      <c r="I355" s="111" t="s">
        <v>787</v>
      </c>
      <c r="J355" s="50"/>
    </row>
    <row r="356" spans="1:10">
      <c r="A356" s="41" t="s">
        <v>859</v>
      </c>
      <c r="B356" s="45" t="s">
        <v>370</v>
      </c>
      <c r="C356" s="146">
        <v>18</v>
      </c>
      <c r="D356" s="108" t="s">
        <v>39</v>
      </c>
      <c r="E356" s="39">
        <v>0</v>
      </c>
      <c r="F356" s="121" t="s">
        <v>825</v>
      </c>
      <c r="G356" s="114">
        <v>1</v>
      </c>
      <c r="H356" s="114">
        <f t="shared" si="27"/>
        <v>114</v>
      </c>
      <c r="I356" s="112" t="s">
        <v>544</v>
      </c>
      <c r="J356" s="114"/>
    </row>
    <row r="357" spans="1:10">
      <c r="A357" s="41" t="s">
        <v>1114</v>
      </c>
      <c r="B357" s="44" t="s">
        <v>1112</v>
      </c>
      <c r="C357" s="42">
        <v>1</v>
      </c>
      <c r="D357" s="111" t="s">
        <v>392</v>
      </c>
      <c r="E357" s="118">
        <v>0</v>
      </c>
      <c r="F357" s="162" t="s">
        <v>825</v>
      </c>
      <c r="G357" s="40">
        <v>2</v>
      </c>
      <c r="H357" s="40">
        <v>2</v>
      </c>
      <c r="I357" s="111" t="s">
        <v>1115</v>
      </c>
      <c r="J357" s="40"/>
    </row>
    <row r="358" spans="1:10">
      <c r="A358" s="41" t="s">
        <v>1114</v>
      </c>
      <c r="B358" s="44" t="s">
        <v>1112</v>
      </c>
      <c r="C358" s="25">
        <v>2</v>
      </c>
      <c r="D358" s="44" t="s">
        <v>929</v>
      </c>
      <c r="E358" s="118">
        <v>0</v>
      </c>
      <c r="F358" s="160" t="s">
        <v>825</v>
      </c>
      <c r="G358" s="40">
        <v>3</v>
      </c>
      <c r="H358" s="21">
        <f t="shared" ref="H358:H374" si="28">H357+G358</f>
        <v>5</v>
      </c>
      <c r="I358" s="111" t="s">
        <v>967</v>
      </c>
      <c r="J358" s="50"/>
    </row>
    <row r="359" spans="1:10">
      <c r="A359" s="41" t="s">
        <v>1114</v>
      </c>
      <c r="B359" s="44" t="s">
        <v>1112</v>
      </c>
      <c r="C359" s="164">
        <v>3</v>
      </c>
      <c r="D359" s="113" t="s">
        <v>881</v>
      </c>
      <c r="E359" s="49">
        <v>0</v>
      </c>
      <c r="F359" s="160" t="s">
        <v>825</v>
      </c>
      <c r="G359" s="40">
        <v>4</v>
      </c>
      <c r="H359" s="21">
        <f t="shared" si="28"/>
        <v>9</v>
      </c>
      <c r="I359" s="111" t="s">
        <v>787</v>
      </c>
      <c r="J359" s="50"/>
    </row>
    <row r="360" spans="1:10">
      <c r="A360" s="41" t="s">
        <v>1114</v>
      </c>
      <c r="B360" s="44" t="s">
        <v>1112</v>
      </c>
      <c r="C360" s="135">
        <v>4</v>
      </c>
      <c r="D360" s="113" t="s">
        <v>350</v>
      </c>
      <c r="E360" s="49">
        <v>0</v>
      </c>
      <c r="F360" s="160" t="s">
        <v>825</v>
      </c>
      <c r="G360" s="40">
        <v>6</v>
      </c>
      <c r="H360" s="21">
        <f t="shared" si="28"/>
        <v>15</v>
      </c>
      <c r="I360" s="111" t="s">
        <v>689</v>
      </c>
      <c r="J360" s="50"/>
    </row>
    <row r="361" spans="1:10">
      <c r="A361" s="41" t="s">
        <v>1114</v>
      </c>
      <c r="B361" s="44" t="s">
        <v>1112</v>
      </c>
      <c r="C361" s="164">
        <v>5</v>
      </c>
      <c r="D361" s="113" t="s">
        <v>395</v>
      </c>
      <c r="E361" s="49">
        <v>0</v>
      </c>
      <c r="F361" s="160" t="s">
        <v>825</v>
      </c>
      <c r="G361" s="40">
        <v>8</v>
      </c>
      <c r="H361" s="21">
        <f t="shared" si="28"/>
        <v>23</v>
      </c>
      <c r="I361" s="111" t="s">
        <v>353</v>
      </c>
      <c r="J361" s="50"/>
    </row>
    <row r="362" spans="1:10" ht="22.5">
      <c r="A362" s="41" t="s">
        <v>1114</v>
      </c>
      <c r="B362" s="44" t="s">
        <v>1112</v>
      </c>
      <c r="C362" s="135">
        <v>6</v>
      </c>
      <c r="D362" s="113" t="s">
        <v>405</v>
      </c>
      <c r="E362" s="49">
        <v>0</v>
      </c>
      <c r="F362" s="160" t="s">
        <v>825</v>
      </c>
      <c r="G362" s="40">
        <v>6</v>
      </c>
      <c r="H362" s="21">
        <f t="shared" si="28"/>
        <v>29</v>
      </c>
      <c r="I362" s="111" t="s">
        <v>254</v>
      </c>
      <c r="J362" s="50"/>
    </row>
    <row r="363" spans="1:10">
      <c r="A363" s="41" t="s">
        <v>1114</v>
      </c>
      <c r="B363" s="44" t="s">
        <v>1112</v>
      </c>
      <c r="C363" s="164">
        <v>7</v>
      </c>
      <c r="D363" s="113" t="s">
        <v>485</v>
      </c>
      <c r="E363" s="49">
        <v>4</v>
      </c>
      <c r="F363" s="160" t="s">
        <v>824</v>
      </c>
      <c r="G363" s="40">
        <v>10</v>
      </c>
      <c r="H363" s="21">
        <f t="shared" si="28"/>
        <v>39</v>
      </c>
      <c r="I363" s="111" t="s">
        <v>909</v>
      </c>
      <c r="J363" s="50"/>
    </row>
    <row r="364" spans="1:10">
      <c r="A364" s="41" t="s">
        <v>1114</v>
      </c>
      <c r="B364" s="44" t="s">
        <v>1112</v>
      </c>
      <c r="C364" s="135">
        <v>8</v>
      </c>
      <c r="D364" s="113" t="s">
        <v>475</v>
      </c>
      <c r="E364" s="49">
        <v>4</v>
      </c>
      <c r="F364" s="160" t="s">
        <v>824</v>
      </c>
      <c r="G364" s="40">
        <v>10</v>
      </c>
      <c r="H364" s="21">
        <f t="shared" si="28"/>
        <v>49</v>
      </c>
      <c r="I364" s="111" t="s">
        <v>909</v>
      </c>
      <c r="J364" s="50"/>
    </row>
    <row r="365" spans="1:10">
      <c r="A365" s="41" t="s">
        <v>1114</v>
      </c>
      <c r="B365" s="44" t="s">
        <v>1112</v>
      </c>
      <c r="C365" s="164">
        <v>9</v>
      </c>
      <c r="D365" s="113" t="s">
        <v>470</v>
      </c>
      <c r="E365" s="49">
        <v>4</v>
      </c>
      <c r="F365" s="160" t="s">
        <v>824</v>
      </c>
      <c r="G365" s="40">
        <v>10</v>
      </c>
      <c r="H365" s="21">
        <f t="shared" si="28"/>
        <v>59</v>
      </c>
      <c r="I365" s="111" t="s">
        <v>909</v>
      </c>
      <c r="J365" s="50"/>
    </row>
    <row r="366" spans="1:10">
      <c r="A366" s="41" t="s">
        <v>1114</v>
      </c>
      <c r="B366" s="44" t="s">
        <v>1112</v>
      </c>
      <c r="C366" s="135">
        <v>10</v>
      </c>
      <c r="D366" s="113" t="s">
        <v>904</v>
      </c>
      <c r="E366" s="49">
        <v>4</v>
      </c>
      <c r="F366" s="160" t="s">
        <v>824</v>
      </c>
      <c r="G366" s="40">
        <v>10</v>
      </c>
      <c r="H366" s="21">
        <f t="shared" si="28"/>
        <v>69</v>
      </c>
      <c r="I366" s="111" t="s">
        <v>630</v>
      </c>
      <c r="J366" s="50"/>
    </row>
    <row r="367" spans="1:10">
      <c r="A367" s="41" t="s">
        <v>1114</v>
      </c>
      <c r="B367" s="44" t="s">
        <v>1112</v>
      </c>
      <c r="C367" s="164">
        <v>11</v>
      </c>
      <c r="D367" s="113" t="s">
        <v>905</v>
      </c>
      <c r="E367" s="49">
        <v>4</v>
      </c>
      <c r="F367" s="160" t="s">
        <v>824</v>
      </c>
      <c r="G367" s="40">
        <v>10</v>
      </c>
      <c r="H367" s="21">
        <f t="shared" si="28"/>
        <v>79</v>
      </c>
      <c r="I367" s="111" t="s">
        <v>630</v>
      </c>
      <c r="J367" s="50"/>
    </row>
    <row r="368" spans="1:10">
      <c r="A368" s="41" t="s">
        <v>1114</v>
      </c>
      <c r="B368" s="44" t="s">
        <v>1112</v>
      </c>
      <c r="C368" s="135">
        <v>12</v>
      </c>
      <c r="D368" s="113" t="s">
        <v>483</v>
      </c>
      <c r="E368" s="49">
        <v>2</v>
      </c>
      <c r="F368" s="160" t="s">
        <v>824</v>
      </c>
      <c r="G368" s="40">
        <v>9</v>
      </c>
      <c r="H368" s="21">
        <f t="shared" si="28"/>
        <v>88</v>
      </c>
      <c r="I368" s="111" t="s">
        <v>641</v>
      </c>
      <c r="J368" s="50"/>
    </row>
    <row r="369" spans="1:10">
      <c r="A369" s="41" t="s">
        <v>1114</v>
      </c>
      <c r="B369" s="44" t="s">
        <v>1112</v>
      </c>
      <c r="C369" s="164">
        <v>13</v>
      </c>
      <c r="D369" s="113" t="s">
        <v>468</v>
      </c>
      <c r="E369" s="49">
        <v>3</v>
      </c>
      <c r="F369" s="160" t="s">
        <v>824</v>
      </c>
      <c r="G369" s="40">
        <v>6</v>
      </c>
      <c r="H369" s="21">
        <f t="shared" si="28"/>
        <v>94</v>
      </c>
      <c r="I369" s="111" t="s">
        <v>214</v>
      </c>
      <c r="J369" s="50"/>
    </row>
    <row r="370" spans="1:10">
      <c r="A370" s="41" t="s">
        <v>1114</v>
      </c>
      <c r="B370" s="44" t="s">
        <v>1112</v>
      </c>
      <c r="C370" s="135">
        <v>14</v>
      </c>
      <c r="D370" s="113" t="s">
        <v>478</v>
      </c>
      <c r="E370" s="49">
        <v>3</v>
      </c>
      <c r="F370" s="160" t="s">
        <v>824</v>
      </c>
      <c r="G370" s="40">
        <v>6</v>
      </c>
      <c r="H370" s="21">
        <f t="shared" si="28"/>
        <v>100</v>
      </c>
      <c r="I370" s="111" t="s">
        <v>601</v>
      </c>
      <c r="J370" s="50"/>
    </row>
    <row r="371" spans="1:10">
      <c r="A371" s="41" t="s">
        <v>1114</v>
      </c>
      <c r="B371" s="44" t="s">
        <v>1112</v>
      </c>
      <c r="C371" s="164">
        <v>15</v>
      </c>
      <c r="D371" s="113" t="s">
        <v>351</v>
      </c>
      <c r="E371" s="49">
        <v>3</v>
      </c>
      <c r="F371" s="160" t="s">
        <v>824</v>
      </c>
      <c r="G371" s="40">
        <v>6</v>
      </c>
      <c r="H371" s="21">
        <f t="shared" si="28"/>
        <v>106</v>
      </c>
      <c r="I371" s="111" t="s">
        <v>384</v>
      </c>
      <c r="J371" s="50"/>
    </row>
    <row r="372" spans="1:10">
      <c r="A372" s="41" t="s">
        <v>1114</v>
      </c>
      <c r="B372" s="44" t="s">
        <v>1112</v>
      </c>
      <c r="C372" s="135">
        <v>16</v>
      </c>
      <c r="D372" s="113" t="s">
        <v>473</v>
      </c>
      <c r="E372" s="49">
        <v>3</v>
      </c>
      <c r="F372" s="160" t="s">
        <v>824</v>
      </c>
      <c r="G372" s="40">
        <v>6</v>
      </c>
      <c r="H372" s="21">
        <f t="shared" si="28"/>
        <v>112</v>
      </c>
      <c r="I372" s="111" t="s">
        <v>384</v>
      </c>
      <c r="J372" s="50"/>
    </row>
    <row r="373" spans="1:10">
      <c r="A373" s="41" t="s">
        <v>1114</v>
      </c>
      <c r="B373" s="44" t="s">
        <v>1112</v>
      </c>
      <c r="C373" s="164">
        <v>17</v>
      </c>
      <c r="D373" s="113" t="s">
        <v>881</v>
      </c>
      <c r="E373" s="49">
        <v>0</v>
      </c>
      <c r="F373" s="160" t="s">
        <v>825</v>
      </c>
      <c r="G373" s="40">
        <v>1</v>
      </c>
      <c r="H373" s="21">
        <f t="shared" si="28"/>
        <v>113</v>
      </c>
      <c r="I373" s="111" t="s">
        <v>787</v>
      </c>
      <c r="J373" s="50"/>
    </row>
    <row r="374" spans="1:10">
      <c r="A374" s="41" t="s">
        <v>1114</v>
      </c>
      <c r="B374" s="45" t="s">
        <v>1112</v>
      </c>
      <c r="C374" s="146">
        <v>18</v>
      </c>
      <c r="D374" s="108" t="s">
        <v>39</v>
      </c>
      <c r="E374" s="39">
        <v>0</v>
      </c>
      <c r="F374" s="161" t="s">
        <v>825</v>
      </c>
      <c r="G374" s="114">
        <v>1</v>
      </c>
      <c r="H374" s="114">
        <f t="shared" si="28"/>
        <v>114</v>
      </c>
      <c r="I374" s="112" t="s">
        <v>544</v>
      </c>
      <c r="J374" s="114"/>
    </row>
    <row r="375" spans="1:10">
      <c r="A375" s="41" t="s">
        <v>855</v>
      </c>
      <c r="B375" s="44" t="s">
        <v>360</v>
      </c>
      <c r="C375" s="42">
        <v>1</v>
      </c>
      <c r="D375" s="111" t="s">
        <v>392</v>
      </c>
      <c r="E375" s="42">
        <v>0</v>
      </c>
      <c r="F375" s="120" t="s">
        <v>825</v>
      </c>
      <c r="G375" s="40">
        <v>2</v>
      </c>
      <c r="H375" s="40">
        <v>2</v>
      </c>
      <c r="I375" s="111" t="s">
        <v>142</v>
      </c>
      <c r="J375" s="40"/>
    </row>
    <row r="376" spans="1:10">
      <c r="A376" s="41" t="s">
        <v>855</v>
      </c>
      <c r="B376" s="44" t="s">
        <v>360</v>
      </c>
      <c r="C376" s="25">
        <v>2</v>
      </c>
      <c r="D376" s="111" t="s">
        <v>706</v>
      </c>
      <c r="E376" s="118">
        <v>0</v>
      </c>
      <c r="F376" s="160" t="s">
        <v>825</v>
      </c>
      <c r="G376" s="40">
        <v>3</v>
      </c>
      <c r="H376" s="21">
        <f t="shared" ref="H376:H392" si="29">H375+G376</f>
        <v>5</v>
      </c>
      <c r="I376" s="111" t="s">
        <v>967</v>
      </c>
      <c r="J376" s="50"/>
    </row>
    <row r="377" spans="1:10">
      <c r="A377" s="41" t="s">
        <v>855</v>
      </c>
      <c r="B377" s="48" t="s">
        <v>360</v>
      </c>
      <c r="C377" s="164">
        <v>3</v>
      </c>
      <c r="D377" s="113" t="s">
        <v>881</v>
      </c>
      <c r="E377" s="49">
        <v>0</v>
      </c>
      <c r="F377" s="109" t="s">
        <v>825</v>
      </c>
      <c r="G377" s="40">
        <v>4</v>
      </c>
      <c r="H377" s="21">
        <f t="shared" si="29"/>
        <v>9</v>
      </c>
      <c r="I377" s="111" t="s">
        <v>787</v>
      </c>
      <c r="J377" s="50"/>
    </row>
    <row r="378" spans="1:10">
      <c r="A378" s="41" t="s">
        <v>855</v>
      </c>
      <c r="B378" s="48" t="s">
        <v>360</v>
      </c>
      <c r="C378" s="135">
        <v>4</v>
      </c>
      <c r="D378" s="113" t="s">
        <v>350</v>
      </c>
      <c r="E378" s="49">
        <v>0</v>
      </c>
      <c r="F378" s="109" t="s">
        <v>825</v>
      </c>
      <c r="G378" s="40">
        <v>6</v>
      </c>
      <c r="H378" s="21">
        <f t="shared" si="29"/>
        <v>15</v>
      </c>
      <c r="I378" s="117" t="s">
        <v>689</v>
      </c>
      <c r="J378" s="50"/>
    </row>
    <row r="379" spans="1:10">
      <c r="A379" s="41" t="s">
        <v>855</v>
      </c>
      <c r="B379" s="48" t="s">
        <v>360</v>
      </c>
      <c r="C379" s="164">
        <v>5</v>
      </c>
      <c r="D379" s="113" t="s">
        <v>395</v>
      </c>
      <c r="E379" s="49">
        <v>0</v>
      </c>
      <c r="F379" s="109" t="s">
        <v>825</v>
      </c>
      <c r="G379" s="40">
        <v>8</v>
      </c>
      <c r="H379" s="21">
        <f t="shared" si="29"/>
        <v>23</v>
      </c>
      <c r="I379" s="111" t="s">
        <v>353</v>
      </c>
      <c r="J379" s="50"/>
    </row>
    <row r="380" spans="1:10" ht="22.5">
      <c r="A380" s="41" t="s">
        <v>855</v>
      </c>
      <c r="B380" s="48" t="s">
        <v>360</v>
      </c>
      <c r="C380" s="135">
        <v>6</v>
      </c>
      <c r="D380" s="113" t="s">
        <v>405</v>
      </c>
      <c r="E380" s="49">
        <v>0</v>
      </c>
      <c r="F380" s="109" t="s">
        <v>825</v>
      </c>
      <c r="G380" s="40">
        <v>6</v>
      </c>
      <c r="H380" s="21">
        <f t="shared" si="29"/>
        <v>29</v>
      </c>
      <c r="I380" s="111" t="s">
        <v>1442</v>
      </c>
      <c r="J380" s="50"/>
    </row>
    <row r="381" spans="1:10">
      <c r="A381" s="41" t="s">
        <v>855</v>
      </c>
      <c r="B381" s="48" t="s">
        <v>360</v>
      </c>
      <c r="C381" s="164">
        <v>7</v>
      </c>
      <c r="D381" s="113" t="s">
        <v>485</v>
      </c>
      <c r="E381" s="49">
        <v>4</v>
      </c>
      <c r="F381" s="122" t="s">
        <v>824</v>
      </c>
      <c r="G381" s="40">
        <v>10</v>
      </c>
      <c r="H381" s="21">
        <f t="shared" si="29"/>
        <v>39</v>
      </c>
      <c r="I381" s="111" t="s">
        <v>907</v>
      </c>
      <c r="J381" s="50"/>
    </row>
    <row r="382" spans="1:10">
      <c r="A382" s="41" t="s">
        <v>855</v>
      </c>
      <c r="B382" s="48" t="s">
        <v>360</v>
      </c>
      <c r="C382" s="135">
        <v>8</v>
      </c>
      <c r="D382" s="113" t="s">
        <v>475</v>
      </c>
      <c r="E382" s="49">
        <v>4</v>
      </c>
      <c r="F382" s="122" t="s">
        <v>824</v>
      </c>
      <c r="G382" s="40">
        <v>10</v>
      </c>
      <c r="H382" s="21">
        <f t="shared" si="29"/>
        <v>49</v>
      </c>
      <c r="I382" s="111" t="s">
        <v>907</v>
      </c>
      <c r="J382" s="50"/>
    </row>
    <row r="383" spans="1:10">
      <c r="A383" s="41" t="s">
        <v>855</v>
      </c>
      <c r="B383" s="48" t="s">
        <v>360</v>
      </c>
      <c r="C383" s="164">
        <v>9</v>
      </c>
      <c r="D383" s="113" t="s">
        <v>470</v>
      </c>
      <c r="E383" s="49">
        <v>4</v>
      </c>
      <c r="F383" s="122" t="s">
        <v>824</v>
      </c>
      <c r="G383" s="40">
        <v>10</v>
      </c>
      <c r="H383" s="21">
        <f t="shared" si="29"/>
        <v>59</v>
      </c>
      <c r="I383" s="111" t="s">
        <v>907</v>
      </c>
      <c r="J383" s="50"/>
    </row>
    <row r="384" spans="1:10">
      <c r="A384" s="41" t="s">
        <v>855</v>
      </c>
      <c r="B384" s="48" t="s">
        <v>360</v>
      </c>
      <c r="C384" s="135">
        <v>10</v>
      </c>
      <c r="D384" s="113" t="s">
        <v>904</v>
      </c>
      <c r="E384" s="49">
        <v>4</v>
      </c>
      <c r="F384" s="122" t="s">
        <v>824</v>
      </c>
      <c r="G384" s="40">
        <v>10</v>
      </c>
      <c r="H384" s="21">
        <f t="shared" si="29"/>
        <v>69</v>
      </c>
      <c r="I384" s="111" t="s">
        <v>907</v>
      </c>
      <c r="J384" s="50"/>
    </row>
    <row r="385" spans="1:10">
      <c r="A385" s="41" t="s">
        <v>855</v>
      </c>
      <c r="B385" s="48" t="s">
        <v>360</v>
      </c>
      <c r="C385" s="164">
        <v>11</v>
      </c>
      <c r="D385" s="113" t="s">
        <v>905</v>
      </c>
      <c r="E385" s="49">
        <v>4</v>
      </c>
      <c r="F385" s="122" t="s">
        <v>824</v>
      </c>
      <c r="G385" s="40">
        <v>10</v>
      </c>
      <c r="H385" s="21">
        <f t="shared" si="29"/>
        <v>79</v>
      </c>
      <c r="I385" s="111" t="s">
        <v>907</v>
      </c>
      <c r="J385" s="50"/>
    </row>
    <row r="386" spans="1:10">
      <c r="A386" s="41" t="s">
        <v>855</v>
      </c>
      <c r="B386" s="48" t="s">
        <v>360</v>
      </c>
      <c r="C386" s="135">
        <v>12</v>
      </c>
      <c r="D386" s="113" t="s">
        <v>483</v>
      </c>
      <c r="E386" s="49">
        <v>2</v>
      </c>
      <c r="F386" s="122" t="s">
        <v>824</v>
      </c>
      <c r="G386" s="40">
        <v>9</v>
      </c>
      <c r="H386" s="21">
        <f t="shared" si="29"/>
        <v>88</v>
      </c>
      <c r="I386" s="111" t="s">
        <v>223</v>
      </c>
      <c r="J386" s="50"/>
    </row>
    <row r="387" spans="1:10">
      <c r="A387" s="41" t="s">
        <v>855</v>
      </c>
      <c r="B387" s="48" t="s">
        <v>360</v>
      </c>
      <c r="C387" s="164">
        <v>13</v>
      </c>
      <c r="D387" s="113" t="s">
        <v>468</v>
      </c>
      <c r="E387" s="49">
        <v>3</v>
      </c>
      <c r="F387" s="122" t="s">
        <v>824</v>
      </c>
      <c r="G387" s="40">
        <v>6</v>
      </c>
      <c r="H387" s="21">
        <f t="shared" si="29"/>
        <v>94</v>
      </c>
      <c r="I387" s="111" t="s">
        <v>601</v>
      </c>
      <c r="J387" s="50"/>
    </row>
    <row r="388" spans="1:10">
      <c r="A388" s="41" t="s">
        <v>855</v>
      </c>
      <c r="B388" s="48" t="s">
        <v>360</v>
      </c>
      <c r="C388" s="135">
        <v>14</v>
      </c>
      <c r="D388" s="113" t="s">
        <v>478</v>
      </c>
      <c r="E388" s="49">
        <v>3</v>
      </c>
      <c r="F388" s="122" t="s">
        <v>824</v>
      </c>
      <c r="G388" s="40">
        <v>6</v>
      </c>
      <c r="H388" s="21">
        <f t="shared" si="29"/>
        <v>100</v>
      </c>
      <c r="I388" s="111" t="s">
        <v>601</v>
      </c>
      <c r="J388" s="50"/>
    </row>
    <row r="389" spans="1:10">
      <c r="A389" s="41" t="s">
        <v>855</v>
      </c>
      <c r="B389" s="48" t="s">
        <v>360</v>
      </c>
      <c r="C389" s="164">
        <v>15</v>
      </c>
      <c r="D389" s="113" t="s">
        <v>351</v>
      </c>
      <c r="E389" s="49">
        <v>3</v>
      </c>
      <c r="F389" s="122" t="s">
        <v>824</v>
      </c>
      <c r="G389" s="40">
        <v>6</v>
      </c>
      <c r="H389" s="21">
        <f t="shared" si="29"/>
        <v>106</v>
      </c>
      <c r="I389" s="111" t="s">
        <v>384</v>
      </c>
      <c r="J389" s="50"/>
    </row>
    <row r="390" spans="1:10">
      <c r="A390" s="41" t="s">
        <v>855</v>
      </c>
      <c r="B390" s="48" t="s">
        <v>360</v>
      </c>
      <c r="C390" s="135">
        <v>16</v>
      </c>
      <c r="D390" s="113" t="s">
        <v>584</v>
      </c>
      <c r="E390" s="49">
        <v>3</v>
      </c>
      <c r="F390" s="122" t="s">
        <v>824</v>
      </c>
      <c r="G390" s="40">
        <v>6</v>
      </c>
      <c r="H390" s="21">
        <f t="shared" si="29"/>
        <v>112</v>
      </c>
      <c r="I390" s="111" t="s">
        <v>1443</v>
      </c>
      <c r="J390" s="50"/>
    </row>
    <row r="391" spans="1:10">
      <c r="A391" s="41" t="s">
        <v>855</v>
      </c>
      <c r="B391" s="48" t="s">
        <v>360</v>
      </c>
      <c r="C391" s="164">
        <v>17</v>
      </c>
      <c r="D391" s="113" t="s">
        <v>881</v>
      </c>
      <c r="E391" s="49">
        <v>0</v>
      </c>
      <c r="F391" s="109" t="s">
        <v>825</v>
      </c>
      <c r="G391" s="40">
        <v>1</v>
      </c>
      <c r="H391" s="21">
        <f t="shared" si="29"/>
        <v>113</v>
      </c>
      <c r="I391" s="111" t="s">
        <v>787</v>
      </c>
      <c r="J391" s="50"/>
    </row>
    <row r="392" spans="1:10">
      <c r="A392" s="41" t="s">
        <v>855</v>
      </c>
      <c r="B392" s="45" t="s">
        <v>360</v>
      </c>
      <c r="C392" s="146">
        <v>18</v>
      </c>
      <c r="D392" s="108" t="s">
        <v>39</v>
      </c>
      <c r="E392" s="39">
        <v>0</v>
      </c>
      <c r="F392" s="121" t="s">
        <v>825</v>
      </c>
      <c r="G392" s="114">
        <v>1</v>
      </c>
      <c r="H392" s="114">
        <f t="shared" si="29"/>
        <v>114</v>
      </c>
      <c r="I392" s="112" t="s">
        <v>544</v>
      </c>
      <c r="J392" s="114"/>
    </row>
    <row r="393" spans="1:10">
      <c r="A393" s="41" t="s">
        <v>863</v>
      </c>
      <c r="B393" s="44" t="s">
        <v>257</v>
      </c>
      <c r="C393" s="42">
        <v>1</v>
      </c>
      <c r="D393" s="111" t="s">
        <v>392</v>
      </c>
      <c r="E393" s="123">
        <v>0</v>
      </c>
      <c r="F393" s="120" t="s">
        <v>825</v>
      </c>
      <c r="G393" s="40">
        <v>2</v>
      </c>
      <c r="H393" s="40">
        <v>2</v>
      </c>
      <c r="I393" s="111" t="s">
        <v>135</v>
      </c>
      <c r="J393" s="40"/>
    </row>
    <row r="394" spans="1:10">
      <c r="A394" s="41" t="s">
        <v>863</v>
      </c>
      <c r="B394" s="44" t="s">
        <v>257</v>
      </c>
      <c r="C394" s="25">
        <v>2</v>
      </c>
      <c r="D394" s="111" t="s">
        <v>706</v>
      </c>
      <c r="E394" s="40">
        <v>0</v>
      </c>
      <c r="F394" s="160" t="s">
        <v>825</v>
      </c>
      <c r="G394" s="40">
        <v>3</v>
      </c>
      <c r="H394" s="21">
        <f t="shared" ref="H394:H411" si="30">H393+G394</f>
        <v>5</v>
      </c>
      <c r="I394" s="111" t="s">
        <v>968</v>
      </c>
      <c r="J394" s="50"/>
    </row>
    <row r="395" spans="1:10">
      <c r="A395" s="41" t="s">
        <v>863</v>
      </c>
      <c r="B395" s="48" t="s">
        <v>257</v>
      </c>
      <c r="C395" s="164">
        <v>3</v>
      </c>
      <c r="D395" s="111" t="s">
        <v>943</v>
      </c>
      <c r="E395" s="40">
        <v>0</v>
      </c>
      <c r="F395" s="160" t="s">
        <v>825</v>
      </c>
      <c r="G395" s="40">
        <v>12</v>
      </c>
      <c r="H395" s="21">
        <f t="shared" si="30"/>
        <v>17</v>
      </c>
      <c r="I395" s="107" t="s">
        <v>1444</v>
      </c>
      <c r="J395" s="50"/>
    </row>
    <row r="396" spans="1:10" ht="22.5">
      <c r="A396" s="41" t="s">
        <v>863</v>
      </c>
      <c r="B396" s="48" t="s">
        <v>257</v>
      </c>
      <c r="C396" s="135">
        <v>4</v>
      </c>
      <c r="D396" s="113" t="s">
        <v>802</v>
      </c>
      <c r="E396" s="52">
        <v>0</v>
      </c>
      <c r="F396" s="109" t="s">
        <v>825</v>
      </c>
      <c r="G396" s="42">
        <v>6</v>
      </c>
      <c r="H396" s="21">
        <f t="shared" si="30"/>
        <v>23</v>
      </c>
      <c r="I396" s="107" t="s">
        <v>12</v>
      </c>
      <c r="J396" s="50"/>
    </row>
    <row r="397" spans="1:10">
      <c r="A397" s="41" t="s">
        <v>863</v>
      </c>
      <c r="B397" s="48" t="s">
        <v>257</v>
      </c>
      <c r="C397" s="164">
        <v>5</v>
      </c>
      <c r="D397" s="113" t="s">
        <v>903</v>
      </c>
      <c r="E397" s="52">
        <v>2</v>
      </c>
      <c r="F397" s="122" t="s">
        <v>824</v>
      </c>
      <c r="G397" s="42">
        <v>10</v>
      </c>
      <c r="H397" s="21">
        <f t="shared" si="30"/>
        <v>33</v>
      </c>
      <c r="I397" s="107" t="s">
        <v>603</v>
      </c>
      <c r="J397" s="50"/>
    </row>
    <row r="398" spans="1:10">
      <c r="A398" s="41" t="s">
        <v>863</v>
      </c>
      <c r="B398" s="48" t="s">
        <v>257</v>
      </c>
      <c r="C398" s="135">
        <v>6</v>
      </c>
      <c r="D398" s="113" t="s">
        <v>891</v>
      </c>
      <c r="E398" s="52">
        <v>0</v>
      </c>
      <c r="F398" s="109" t="s">
        <v>825</v>
      </c>
      <c r="G398" s="42">
        <v>1</v>
      </c>
      <c r="H398" s="21">
        <f t="shared" si="30"/>
        <v>34</v>
      </c>
      <c r="I398" s="107" t="s">
        <v>410</v>
      </c>
      <c r="J398" s="50"/>
    </row>
    <row r="399" spans="1:10">
      <c r="A399" s="41" t="s">
        <v>863</v>
      </c>
      <c r="B399" s="48" t="s">
        <v>257</v>
      </c>
      <c r="C399" s="164">
        <v>7</v>
      </c>
      <c r="D399" s="113" t="s">
        <v>477</v>
      </c>
      <c r="E399" s="52">
        <v>6</v>
      </c>
      <c r="F399" s="122" t="s">
        <v>824</v>
      </c>
      <c r="G399" s="42">
        <v>7</v>
      </c>
      <c r="H399" s="21">
        <f t="shared" si="30"/>
        <v>41</v>
      </c>
      <c r="I399" s="107" t="s">
        <v>801</v>
      </c>
      <c r="J399" s="50"/>
    </row>
    <row r="400" spans="1:10">
      <c r="A400" s="41" t="s">
        <v>863</v>
      </c>
      <c r="B400" s="48" t="s">
        <v>257</v>
      </c>
      <c r="C400" s="135">
        <v>8</v>
      </c>
      <c r="D400" s="113" t="s">
        <v>906</v>
      </c>
      <c r="E400" s="52">
        <v>0</v>
      </c>
      <c r="F400" s="109" t="s">
        <v>825</v>
      </c>
      <c r="G400" s="42">
        <v>1</v>
      </c>
      <c r="H400" s="21">
        <f t="shared" si="30"/>
        <v>42</v>
      </c>
      <c r="I400" s="107" t="s">
        <v>366</v>
      </c>
      <c r="J400" s="50"/>
    </row>
    <row r="401" spans="1:10">
      <c r="A401" s="41" t="s">
        <v>863</v>
      </c>
      <c r="B401" s="48" t="s">
        <v>257</v>
      </c>
      <c r="C401" s="164">
        <v>9</v>
      </c>
      <c r="D401" s="113" t="s">
        <v>479</v>
      </c>
      <c r="E401" s="52">
        <v>6</v>
      </c>
      <c r="F401" s="122" t="s">
        <v>824</v>
      </c>
      <c r="G401" s="42">
        <v>7</v>
      </c>
      <c r="H401" s="21">
        <f t="shared" si="30"/>
        <v>49</v>
      </c>
      <c r="I401" s="107" t="s">
        <v>801</v>
      </c>
      <c r="J401" s="50"/>
    </row>
    <row r="402" spans="1:10">
      <c r="A402" s="41" t="s">
        <v>863</v>
      </c>
      <c r="B402" s="48" t="s">
        <v>257</v>
      </c>
      <c r="C402" s="135">
        <v>10</v>
      </c>
      <c r="D402" s="113" t="s">
        <v>898</v>
      </c>
      <c r="E402" s="52">
        <v>0</v>
      </c>
      <c r="F402" s="109" t="s">
        <v>825</v>
      </c>
      <c r="G402" s="42">
        <v>1</v>
      </c>
      <c r="H402" s="21">
        <f t="shared" si="30"/>
        <v>50</v>
      </c>
      <c r="I402" s="107" t="s">
        <v>410</v>
      </c>
      <c r="J402" s="50"/>
    </row>
    <row r="403" spans="1:10">
      <c r="A403" s="41" t="s">
        <v>863</v>
      </c>
      <c r="B403" s="48" t="s">
        <v>257</v>
      </c>
      <c r="C403" s="164">
        <v>11</v>
      </c>
      <c r="D403" s="113" t="s">
        <v>581</v>
      </c>
      <c r="E403" s="52">
        <v>6</v>
      </c>
      <c r="F403" s="122" t="s">
        <v>824</v>
      </c>
      <c r="G403" s="42">
        <v>12</v>
      </c>
      <c r="H403" s="21">
        <f t="shared" si="30"/>
        <v>62</v>
      </c>
      <c r="I403" s="107" t="s">
        <v>619</v>
      </c>
      <c r="J403" s="50"/>
    </row>
    <row r="404" spans="1:10">
      <c r="A404" s="41" t="s">
        <v>863</v>
      </c>
      <c r="B404" s="48" t="s">
        <v>257</v>
      </c>
      <c r="C404" s="135">
        <v>12</v>
      </c>
      <c r="D404" s="113" t="s">
        <v>767</v>
      </c>
      <c r="E404" s="52">
        <v>0</v>
      </c>
      <c r="F404" s="109" t="s">
        <v>825</v>
      </c>
      <c r="G404" s="42">
        <v>1</v>
      </c>
      <c r="H404" s="21">
        <f t="shared" si="30"/>
        <v>63</v>
      </c>
      <c r="I404" s="107" t="s">
        <v>410</v>
      </c>
      <c r="J404" s="50"/>
    </row>
    <row r="405" spans="1:10">
      <c r="A405" s="41" t="s">
        <v>863</v>
      </c>
      <c r="B405" s="48" t="s">
        <v>257</v>
      </c>
      <c r="C405" s="164">
        <v>13</v>
      </c>
      <c r="D405" s="113" t="s">
        <v>486</v>
      </c>
      <c r="E405" s="52">
        <v>6</v>
      </c>
      <c r="F405" s="122" t="s">
        <v>824</v>
      </c>
      <c r="G405" s="42">
        <v>12</v>
      </c>
      <c r="H405" s="21">
        <f t="shared" si="30"/>
        <v>75</v>
      </c>
      <c r="I405" s="107" t="s">
        <v>619</v>
      </c>
      <c r="J405" s="50"/>
    </row>
    <row r="406" spans="1:10">
      <c r="A406" s="41" t="s">
        <v>863</v>
      </c>
      <c r="B406" s="48" t="s">
        <v>257</v>
      </c>
      <c r="C406" s="135">
        <v>14</v>
      </c>
      <c r="D406" s="113" t="s">
        <v>735</v>
      </c>
      <c r="E406" s="52">
        <v>0</v>
      </c>
      <c r="F406" s="109" t="s">
        <v>825</v>
      </c>
      <c r="G406" s="42">
        <v>1</v>
      </c>
      <c r="H406" s="21">
        <f t="shared" si="30"/>
        <v>76</v>
      </c>
      <c r="I406" s="107" t="s">
        <v>410</v>
      </c>
      <c r="J406" s="50"/>
    </row>
    <row r="407" spans="1:10">
      <c r="A407" s="41" t="s">
        <v>863</v>
      </c>
      <c r="B407" s="48" t="s">
        <v>257</v>
      </c>
      <c r="C407" s="164">
        <v>15</v>
      </c>
      <c r="D407" s="113" t="s">
        <v>467</v>
      </c>
      <c r="E407" s="52">
        <v>6</v>
      </c>
      <c r="F407" s="122" t="s">
        <v>824</v>
      </c>
      <c r="G407" s="42">
        <v>12</v>
      </c>
      <c r="H407" s="21">
        <f t="shared" si="30"/>
        <v>88</v>
      </c>
      <c r="I407" s="107" t="s">
        <v>619</v>
      </c>
      <c r="J407" s="50"/>
    </row>
    <row r="408" spans="1:10">
      <c r="A408" s="41" t="s">
        <v>863</v>
      </c>
      <c r="B408" s="48" t="s">
        <v>257</v>
      </c>
      <c r="C408" s="135">
        <v>16</v>
      </c>
      <c r="D408" s="113" t="s">
        <v>720</v>
      </c>
      <c r="E408" s="52">
        <v>2</v>
      </c>
      <c r="F408" s="122" t="s">
        <v>824</v>
      </c>
      <c r="G408" s="42">
        <v>5</v>
      </c>
      <c r="H408" s="21">
        <f t="shared" si="30"/>
        <v>93</v>
      </c>
      <c r="I408" s="107" t="s">
        <v>334</v>
      </c>
      <c r="J408" s="50"/>
    </row>
    <row r="409" spans="1:10">
      <c r="A409" s="41" t="s">
        <v>863</v>
      </c>
      <c r="B409" s="48" t="s">
        <v>257</v>
      </c>
      <c r="C409" s="164">
        <v>17</v>
      </c>
      <c r="D409" s="113" t="s">
        <v>511</v>
      </c>
      <c r="E409" s="52">
        <v>2</v>
      </c>
      <c r="F409" s="122" t="s">
        <v>824</v>
      </c>
      <c r="G409" s="42">
        <v>10</v>
      </c>
      <c r="H409" s="21">
        <f t="shared" si="30"/>
        <v>103</v>
      </c>
      <c r="I409" s="107" t="s">
        <v>284</v>
      </c>
      <c r="J409" s="50"/>
    </row>
    <row r="410" spans="1:10">
      <c r="A410" s="41" t="s">
        <v>863</v>
      </c>
      <c r="B410" s="48" t="s">
        <v>257</v>
      </c>
      <c r="C410" s="135">
        <v>18</v>
      </c>
      <c r="D410" s="113" t="s">
        <v>881</v>
      </c>
      <c r="E410" s="52">
        <v>0</v>
      </c>
      <c r="F410" s="109" t="s">
        <v>825</v>
      </c>
      <c r="G410" s="42">
        <v>6</v>
      </c>
      <c r="H410" s="21">
        <f t="shared" si="30"/>
        <v>109</v>
      </c>
      <c r="I410" s="107" t="s">
        <v>787</v>
      </c>
      <c r="J410" s="50"/>
    </row>
    <row r="411" spans="1:10">
      <c r="A411" s="41" t="s">
        <v>863</v>
      </c>
      <c r="B411" s="45" t="s">
        <v>257</v>
      </c>
      <c r="C411" s="165">
        <v>19</v>
      </c>
      <c r="D411" s="108" t="s">
        <v>39</v>
      </c>
      <c r="E411" s="51">
        <v>0</v>
      </c>
      <c r="F411" s="121" t="s">
        <v>825</v>
      </c>
      <c r="G411" s="51">
        <v>1</v>
      </c>
      <c r="H411" s="114">
        <f t="shared" si="30"/>
        <v>110</v>
      </c>
      <c r="I411" s="112" t="s">
        <v>544</v>
      </c>
      <c r="J411" s="114"/>
    </row>
    <row r="412" spans="1:10">
      <c r="A412" s="41" t="s">
        <v>843</v>
      </c>
      <c r="B412" s="44" t="s">
        <v>306</v>
      </c>
      <c r="C412" s="42">
        <v>1</v>
      </c>
      <c r="D412" s="111" t="s">
        <v>381</v>
      </c>
      <c r="E412" s="123">
        <v>0</v>
      </c>
      <c r="F412" s="120" t="s">
        <v>825</v>
      </c>
      <c r="G412" s="40">
        <v>2</v>
      </c>
      <c r="H412" s="40">
        <v>2</v>
      </c>
      <c r="I412" s="111" t="s">
        <v>26</v>
      </c>
      <c r="J412" s="40"/>
    </row>
    <row r="413" spans="1:10">
      <c r="A413" s="41" t="s">
        <v>843</v>
      </c>
      <c r="B413" s="44" t="s">
        <v>306</v>
      </c>
      <c r="C413" s="25">
        <v>2</v>
      </c>
      <c r="D413" s="111" t="s">
        <v>702</v>
      </c>
      <c r="E413" s="40">
        <v>0</v>
      </c>
      <c r="F413" s="160" t="s">
        <v>825</v>
      </c>
      <c r="G413" s="40">
        <v>3</v>
      </c>
      <c r="H413" s="21">
        <f>H412+G413</f>
        <v>5</v>
      </c>
      <c r="I413" s="111" t="s">
        <v>968</v>
      </c>
      <c r="J413" s="50"/>
    </row>
    <row r="414" spans="1:10">
      <c r="A414" s="41" t="s">
        <v>843</v>
      </c>
      <c r="B414" s="48" t="s">
        <v>306</v>
      </c>
      <c r="C414" s="164">
        <v>3</v>
      </c>
      <c r="D414" s="113" t="s">
        <v>802</v>
      </c>
      <c r="E414" s="52">
        <v>0</v>
      </c>
      <c r="F414" s="109" t="s">
        <v>825</v>
      </c>
      <c r="G414" s="42">
        <v>6</v>
      </c>
      <c r="H414" s="77">
        <f>H413+G414</f>
        <v>11</v>
      </c>
      <c r="I414" s="107" t="s">
        <v>233</v>
      </c>
      <c r="J414" s="50"/>
    </row>
    <row r="415" spans="1:10">
      <c r="A415" s="41" t="s">
        <v>843</v>
      </c>
      <c r="B415" s="48" t="s">
        <v>306</v>
      </c>
      <c r="C415" s="135">
        <v>4</v>
      </c>
      <c r="D415" s="113" t="s">
        <v>605</v>
      </c>
      <c r="E415" s="52">
        <v>0</v>
      </c>
      <c r="F415" s="50"/>
      <c r="G415" s="42">
        <v>850</v>
      </c>
      <c r="H415" s="21">
        <f>H414+G415</f>
        <v>861</v>
      </c>
      <c r="I415" s="107" t="s">
        <v>1445</v>
      </c>
      <c r="J415" s="50"/>
    </row>
    <row r="416" spans="1:10">
      <c r="A416" s="41" t="s">
        <v>843</v>
      </c>
      <c r="B416" s="48" t="s">
        <v>306</v>
      </c>
      <c r="C416" s="164">
        <v>5</v>
      </c>
      <c r="D416" s="113" t="s">
        <v>943</v>
      </c>
      <c r="E416" s="52">
        <v>0</v>
      </c>
      <c r="F416" s="50" t="s">
        <v>825</v>
      </c>
      <c r="G416" s="42">
        <v>12</v>
      </c>
      <c r="H416" s="21"/>
      <c r="I416" s="107" t="s">
        <v>1446</v>
      </c>
      <c r="J416" s="50"/>
    </row>
    <row r="417" spans="1:10">
      <c r="A417" s="41" t="s">
        <v>843</v>
      </c>
      <c r="B417" s="48" t="s">
        <v>306</v>
      </c>
      <c r="C417" s="135">
        <v>6</v>
      </c>
      <c r="D417" s="113" t="s">
        <v>582</v>
      </c>
      <c r="E417" s="52">
        <v>2</v>
      </c>
      <c r="F417" s="122" t="s">
        <v>824</v>
      </c>
      <c r="G417" s="42">
        <v>5</v>
      </c>
      <c r="H417" s="21"/>
      <c r="I417" s="107" t="s">
        <v>645</v>
      </c>
      <c r="J417" s="50"/>
    </row>
    <row r="418" spans="1:10">
      <c r="A418" s="41" t="s">
        <v>843</v>
      </c>
      <c r="B418" s="48" t="s">
        <v>306</v>
      </c>
      <c r="C418" s="164">
        <v>7</v>
      </c>
      <c r="D418" s="113" t="s">
        <v>881</v>
      </c>
      <c r="E418" s="52">
        <v>0</v>
      </c>
      <c r="F418" s="109" t="s">
        <v>825</v>
      </c>
      <c r="G418" s="42">
        <v>8</v>
      </c>
      <c r="H418" s="21">
        <f>H415+G418</f>
        <v>869</v>
      </c>
      <c r="I418" s="107" t="s">
        <v>787</v>
      </c>
      <c r="J418" s="50"/>
    </row>
    <row r="419" spans="1:10">
      <c r="A419" s="41" t="s">
        <v>843</v>
      </c>
      <c r="B419" s="45" t="s">
        <v>306</v>
      </c>
      <c r="C419" s="146">
        <v>8</v>
      </c>
      <c r="D419" s="108" t="s">
        <v>39</v>
      </c>
      <c r="E419" s="38">
        <v>0</v>
      </c>
      <c r="F419" s="121" t="s">
        <v>825</v>
      </c>
      <c r="G419" s="114">
        <v>1</v>
      </c>
      <c r="H419" s="114">
        <f>H418+G419</f>
        <v>870</v>
      </c>
      <c r="I419" s="112" t="s">
        <v>544</v>
      </c>
      <c r="J419" s="114"/>
    </row>
    <row r="420" spans="1:10">
      <c r="A420" s="41" t="s">
        <v>876</v>
      </c>
      <c r="B420" s="44" t="s">
        <v>571</v>
      </c>
      <c r="C420" s="42">
        <v>1</v>
      </c>
      <c r="D420" s="111" t="s">
        <v>392</v>
      </c>
      <c r="E420" s="123">
        <v>0</v>
      </c>
      <c r="F420" s="120" t="s">
        <v>825</v>
      </c>
      <c r="G420" s="42">
        <v>2</v>
      </c>
      <c r="H420" s="40">
        <v>2</v>
      </c>
      <c r="I420" s="111" t="s">
        <v>103</v>
      </c>
      <c r="J420" s="40"/>
    </row>
    <row r="421" spans="1:10">
      <c r="A421" s="41" t="s">
        <v>876</v>
      </c>
      <c r="B421" s="44" t="s">
        <v>571</v>
      </c>
      <c r="C421" s="25">
        <v>2</v>
      </c>
      <c r="D421" s="111" t="s">
        <v>706</v>
      </c>
      <c r="E421" s="123">
        <v>0</v>
      </c>
      <c r="F421" s="160" t="s">
        <v>825</v>
      </c>
      <c r="G421" s="42">
        <v>3</v>
      </c>
      <c r="H421" s="137">
        <f t="shared" ref="H421:H484" si="31">H420+G421</f>
        <v>5</v>
      </c>
      <c r="I421" s="107" t="s">
        <v>969</v>
      </c>
      <c r="J421" s="40"/>
    </row>
    <row r="422" spans="1:10">
      <c r="A422" s="41" t="s">
        <v>876</v>
      </c>
      <c r="B422" s="44" t="s">
        <v>571</v>
      </c>
      <c r="C422" s="164">
        <v>3</v>
      </c>
      <c r="D422" s="111" t="s">
        <v>607</v>
      </c>
      <c r="E422" s="123">
        <v>0</v>
      </c>
      <c r="F422" s="109" t="s">
        <v>825</v>
      </c>
      <c r="G422" s="42">
        <v>12</v>
      </c>
      <c r="H422" s="151">
        <f t="shared" si="31"/>
        <v>17</v>
      </c>
      <c r="I422" s="107" t="s">
        <v>563</v>
      </c>
      <c r="J422" s="40"/>
    </row>
    <row r="423" spans="1:10">
      <c r="A423" s="41" t="s">
        <v>876</v>
      </c>
      <c r="B423" s="44" t="s">
        <v>571</v>
      </c>
      <c r="C423" s="135">
        <v>4</v>
      </c>
      <c r="D423" s="111" t="s">
        <v>609</v>
      </c>
      <c r="E423" s="123">
        <v>0</v>
      </c>
      <c r="F423" s="122" t="s">
        <v>806</v>
      </c>
      <c r="G423" s="42">
        <v>8</v>
      </c>
      <c r="H423" s="151">
        <f t="shared" si="31"/>
        <v>25</v>
      </c>
      <c r="I423" s="107" t="s">
        <v>1447</v>
      </c>
      <c r="J423" s="40"/>
    </row>
    <row r="424" spans="1:10">
      <c r="A424" s="41" t="s">
        <v>876</v>
      </c>
      <c r="B424" s="44" t="s">
        <v>571</v>
      </c>
      <c r="C424" s="164">
        <v>5</v>
      </c>
      <c r="D424" s="111" t="s">
        <v>677</v>
      </c>
      <c r="E424" s="123">
        <v>0</v>
      </c>
      <c r="F424" s="109" t="s">
        <v>825</v>
      </c>
      <c r="G424" s="42">
        <v>9</v>
      </c>
      <c r="H424" s="151">
        <f t="shared" si="31"/>
        <v>34</v>
      </c>
      <c r="I424" s="107" t="s">
        <v>597</v>
      </c>
      <c r="J424" s="40"/>
    </row>
    <row r="425" spans="1:10">
      <c r="A425" s="41" t="s">
        <v>876</v>
      </c>
      <c r="B425" s="44" t="s">
        <v>571</v>
      </c>
      <c r="C425" s="164">
        <v>6</v>
      </c>
      <c r="D425" s="111" t="s">
        <v>436</v>
      </c>
      <c r="E425" s="123">
        <v>0</v>
      </c>
      <c r="F425" s="109" t="s">
        <v>825</v>
      </c>
      <c r="G425" s="42">
        <v>8</v>
      </c>
      <c r="H425" s="151">
        <f t="shared" si="31"/>
        <v>42</v>
      </c>
      <c r="I425" s="107" t="s">
        <v>353</v>
      </c>
      <c r="J425" s="40"/>
    </row>
    <row r="426" spans="1:10">
      <c r="A426" s="41" t="s">
        <v>876</v>
      </c>
      <c r="B426" s="44" t="s">
        <v>571</v>
      </c>
      <c r="C426" s="135">
        <v>7</v>
      </c>
      <c r="D426" s="111" t="s">
        <v>524</v>
      </c>
      <c r="E426" s="123">
        <v>0</v>
      </c>
      <c r="F426" s="109" t="s">
        <v>825</v>
      </c>
      <c r="G426" s="42">
        <v>80</v>
      </c>
      <c r="H426" s="151">
        <f t="shared" si="31"/>
        <v>122</v>
      </c>
      <c r="I426" s="107"/>
      <c r="J426" s="40"/>
    </row>
    <row r="427" spans="1:10">
      <c r="A427" s="41" t="s">
        <v>876</v>
      </c>
      <c r="B427" s="44" t="s">
        <v>571</v>
      </c>
      <c r="C427" s="164">
        <v>8</v>
      </c>
      <c r="D427" s="111" t="s">
        <v>740</v>
      </c>
      <c r="E427" s="123">
        <v>0</v>
      </c>
      <c r="F427" s="109" t="s">
        <v>825</v>
      </c>
      <c r="G427" s="42">
        <v>40</v>
      </c>
      <c r="H427" s="151">
        <f t="shared" si="31"/>
        <v>162</v>
      </c>
      <c r="I427" s="107"/>
      <c r="J427" s="40"/>
    </row>
    <row r="428" spans="1:10">
      <c r="A428" s="41" t="s">
        <v>876</v>
      </c>
      <c r="B428" s="44" t="s">
        <v>571</v>
      </c>
      <c r="C428" s="164">
        <v>9</v>
      </c>
      <c r="D428" s="111" t="s">
        <v>525</v>
      </c>
      <c r="E428" s="123">
        <v>0</v>
      </c>
      <c r="F428" s="109" t="s">
        <v>825</v>
      </c>
      <c r="G428" s="42">
        <v>80</v>
      </c>
      <c r="H428" s="151">
        <f t="shared" si="31"/>
        <v>242</v>
      </c>
      <c r="I428" s="107"/>
      <c r="J428" s="40"/>
    </row>
    <row r="429" spans="1:10">
      <c r="A429" s="41" t="s">
        <v>876</v>
      </c>
      <c r="B429" s="44" t="s">
        <v>571</v>
      </c>
      <c r="C429" s="135">
        <v>10</v>
      </c>
      <c r="D429" s="111" t="s">
        <v>272</v>
      </c>
      <c r="E429" s="123">
        <v>0</v>
      </c>
      <c r="F429" s="109" t="s">
        <v>825</v>
      </c>
      <c r="G429" s="42">
        <v>40</v>
      </c>
      <c r="H429" s="151">
        <f t="shared" si="31"/>
        <v>282</v>
      </c>
      <c r="I429" s="107"/>
      <c r="J429" s="40"/>
    </row>
    <row r="430" spans="1:10">
      <c r="A430" s="41" t="s">
        <v>876</v>
      </c>
      <c r="B430" s="44" t="s">
        <v>571</v>
      </c>
      <c r="C430" s="164">
        <v>11</v>
      </c>
      <c r="D430" s="111" t="s">
        <v>539</v>
      </c>
      <c r="E430" s="123">
        <v>0</v>
      </c>
      <c r="F430" s="122" t="s">
        <v>806</v>
      </c>
      <c r="G430" s="42">
        <v>5</v>
      </c>
      <c r="H430" s="151">
        <f t="shared" si="31"/>
        <v>287</v>
      </c>
      <c r="I430" s="107" t="s">
        <v>144</v>
      </c>
      <c r="J430" s="40"/>
    </row>
    <row r="431" spans="1:10">
      <c r="A431" s="41" t="s">
        <v>876</v>
      </c>
      <c r="B431" s="44" t="s">
        <v>571</v>
      </c>
      <c r="C431" s="164">
        <v>12</v>
      </c>
      <c r="D431" s="111" t="s">
        <v>644</v>
      </c>
      <c r="E431" s="123">
        <v>0</v>
      </c>
      <c r="F431" s="109" t="s">
        <v>825</v>
      </c>
      <c r="G431" s="42">
        <v>1</v>
      </c>
      <c r="H431" s="151">
        <f t="shared" si="31"/>
        <v>288</v>
      </c>
      <c r="I431" s="107" t="s">
        <v>290</v>
      </c>
      <c r="J431" s="40"/>
    </row>
    <row r="432" spans="1:10" ht="45">
      <c r="A432" s="41" t="s">
        <v>876</v>
      </c>
      <c r="B432" s="44" t="s">
        <v>571</v>
      </c>
      <c r="C432" s="135">
        <v>13</v>
      </c>
      <c r="D432" s="111" t="s">
        <v>1448</v>
      </c>
      <c r="E432" s="123">
        <v>0</v>
      </c>
      <c r="F432" s="109" t="s">
        <v>825</v>
      </c>
      <c r="G432" s="42">
        <v>1</v>
      </c>
      <c r="H432" s="151">
        <f t="shared" si="31"/>
        <v>289</v>
      </c>
      <c r="I432" s="107" t="s">
        <v>1</v>
      </c>
      <c r="J432" s="40"/>
    </row>
    <row r="433" spans="1:10">
      <c r="A433" s="41" t="s">
        <v>876</v>
      </c>
      <c r="B433" s="44" t="s">
        <v>571</v>
      </c>
      <c r="C433" s="164">
        <v>14</v>
      </c>
      <c r="D433" s="111" t="s">
        <v>271</v>
      </c>
      <c r="E433" s="123">
        <v>0</v>
      </c>
      <c r="F433" s="109" t="s">
        <v>825</v>
      </c>
      <c r="G433" s="42">
        <v>7</v>
      </c>
      <c r="H433" s="151">
        <f t="shared" si="31"/>
        <v>296</v>
      </c>
      <c r="I433" s="107" t="s">
        <v>144</v>
      </c>
      <c r="J433" s="40"/>
    </row>
    <row r="434" spans="1:10" ht="22.5">
      <c r="A434" s="41" t="s">
        <v>876</v>
      </c>
      <c r="B434" s="44" t="s">
        <v>571</v>
      </c>
      <c r="C434" s="164">
        <v>15</v>
      </c>
      <c r="D434" s="111" t="s">
        <v>535</v>
      </c>
      <c r="E434" s="123">
        <v>0</v>
      </c>
      <c r="F434" s="122" t="s">
        <v>806</v>
      </c>
      <c r="G434" s="42">
        <v>9</v>
      </c>
      <c r="H434" s="151">
        <f t="shared" si="31"/>
        <v>305</v>
      </c>
      <c r="I434" s="107" t="s">
        <v>17</v>
      </c>
      <c r="J434" s="40"/>
    </row>
    <row r="435" spans="1:10">
      <c r="A435" s="41" t="s">
        <v>876</v>
      </c>
      <c r="B435" s="44" t="s">
        <v>571</v>
      </c>
      <c r="C435" s="135">
        <v>16</v>
      </c>
      <c r="D435" s="111" t="s">
        <v>728</v>
      </c>
      <c r="E435" s="123">
        <v>0</v>
      </c>
      <c r="F435" s="122" t="s">
        <v>806</v>
      </c>
      <c r="G435" s="42">
        <v>9</v>
      </c>
      <c r="H435" s="151">
        <f t="shared" si="31"/>
        <v>314</v>
      </c>
      <c r="I435" s="107" t="s">
        <v>622</v>
      </c>
      <c r="J435" s="40"/>
    </row>
    <row r="436" spans="1:10">
      <c r="A436" s="41" t="s">
        <v>876</v>
      </c>
      <c r="B436" s="44" t="s">
        <v>571</v>
      </c>
      <c r="C436" s="164">
        <v>17</v>
      </c>
      <c r="D436" s="111" t="s">
        <v>187</v>
      </c>
      <c r="E436" s="123">
        <v>0</v>
      </c>
      <c r="F436" s="122" t="s">
        <v>806</v>
      </c>
      <c r="G436" s="42">
        <v>9</v>
      </c>
      <c r="H436" s="151">
        <f t="shared" si="31"/>
        <v>323</v>
      </c>
      <c r="I436" s="107" t="s">
        <v>622</v>
      </c>
      <c r="J436" s="40"/>
    </row>
    <row r="437" spans="1:10">
      <c r="A437" s="41" t="s">
        <v>876</v>
      </c>
      <c r="B437" s="44" t="s">
        <v>571</v>
      </c>
      <c r="C437" s="164">
        <v>18</v>
      </c>
      <c r="D437" s="111" t="s">
        <v>698</v>
      </c>
      <c r="E437" s="123">
        <v>0</v>
      </c>
      <c r="F437" s="122" t="s">
        <v>806</v>
      </c>
      <c r="G437" s="42">
        <v>15</v>
      </c>
      <c r="H437" s="151">
        <f t="shared" si="31"/>
        <v>338</v>
      </c>
      <c r="I437" s="107" t="s">
        <v>654</v>
      </c>
      <c r="J437" s="40"/>
    </row>
    <row r="438" spans="1:10">
      <c r="A438" s="41" t="s">
        <v>876</v>
      </c>
      <c r="B438" s="44" t="s">
        <v>571</v>
      </c>
      <c r="C438" s="135">
        <v>19</v>
      </c>
      <c r="D438" s="111" t="s">
        <v>649</v>
      </c>
      <c r="E438" s="123">
        <v>0</v>
      </c>
      <c r="F438" s="122" t="s">
        <v>806</v>
      </c>
      <c r="G438" s="42">
        <v>9</v>
      </c>
      <c r="H438" s="151">
        <f t="shared" si="31"/>
        <v>347</v>
      </c>
      <c r="I438" s="107" t="s">
        <v>622</v>
      </c>
      <c r="J438" s="40"/>
    </row>
    <row r="439" spans="1:10">
      <c r="A439" s="41" t="s">
        <v>876</v>
      </c>
      <c r="B439" s="44" t="s">
        <v>571</v>
      </c>
      <c r="C439" s="164">
        <v>20</v>
      </c>
      <c r="D439" s="111" t="s">
        <v>692</v>
      </c>
      <c r="E439" s="123">
        <v>0</v>
      </c>
      <c r="F439" s="109" t="s">
        <v>825</v>
      </c>
      <c r="G439" s="42">
        <v>2</v>
      </c>
      <c r="H439" s="151">
        <f t="shared" si="31"/>
        <v>349</v>
      </c>
      <c r="I439" s="107" t="s">
        <v>53</v>
      </c>
      <c r="J439" s="40"/>
    </row>
    <row r="440" spans="1:10" ht="33.75">
      <c r="A440" s="41" t="s">
        <v>876</v>
      </c>
      <c r="B440" s="44" t="s">
        <v>571</v>
      </c>
      <c r="C440" s="164">
        <v>21</v>
      </c>
      <c r="D440" s="111" t="s">
        <v>737</v>
      </c>
      <c r="E440" s="123">
        <v>0</v>
      </c>
      <c r="F440" s="109" t="s">
        <v>825</v>
      </c>
      <c r="G440" s="42">
        <v>1</v>
      </c>
      <c r="H440" s="151">
        <f t="shared" si="31"/>
        <v>350</v>
      </c>
      <c r="I440" s="107" t="s">
        <v>2</v>
      </c>
      <c r="J440" s="40"/>
    </row>
    <row r="441" spans="1:10">
      <c r="A441" s="41" t="s">
        <v>876</v>
      </c>
      <c r="B441" s="44" t="s">
        <v>571</v>
      </c>
      <c r="C441" s="135">
        <v>22</v>
      </c>
      <c r="D441" s="179" t="s">
        <v>22</v>
      </c>
      <c r="E441" s="123">
        <v>2</v>
      </c>
      <c r="F441" s="122" t="s">
        <v>824</v>
      </c>
      <c r="G441" s="42">
        <v>6</v>
      </c>
      <c r="H441" s="151">
        <f t="shared" si="31"/>
        <v>356</v>
      </c>
      <c r="I441" s="107" t="s">
        <v>782</v>
      </c>
      <c r="J441" s="40"/>
    </row>
    <row r="442" spans="1:10">
      <c r="A442" s="41" t="s">
        <v>876</v>
      </c>
      <c r="B442" s="44" t="s">
        <v>571</v>
      </c>
      <c r="C442" s="164">
        <v>23</v>
      </c>
      <c r="D442" s="179" t="s">
        <v>21</v>
      </c>
      <c r="E442" s="123">
        <v>0</v>
      </c>
      <c r="F442" s="122" t="s">
        <v>806</v>
      </c>
      <c r="G442" s="42">
        <v>9</v>
      </c>
      <c r="H442" s="151">
        <f t="shared" si="31"/>
        <v>365</v>
      </c>
      <c r="I442" s="107" t="s">
        <v>622</v>
      </c>
      <c r="J442" s="40"/>
    </row>
    <row r="443" spans="1:10">
      <c r="A443" s="41" t="s">
        <v>876</v>
      </c>
      <c r="B443" s="44" t="s">
        <v>571</v>
      </c>
      <c r="C443" s="164">
        <v>24</v>
      </c>
      <c r="D443" s="111" t="s">
        <v>533</v>
      </c>
      <c r="E443" s="123">
        <v>0</v>
      </c>
      <c r="F443" s="109" t="s">
        <v>825</v>
      </c>
      <c r="G443" s="42">
        <v>1</v>
      </c>
      <c r="H443" s="151">
        <f t="shared" si="31"/>
        <v>366</v>
      </c>
      <c r="I443" s="107" t="s">
        <v>532</v>
      </c>
      <c r="J443" s="40"/>
    </row>
    <row r="444" spans="1:10">
      <c r="A444" s="41" t="s">
        <v>876</v>
      </c>
      <c r="B444" s="44" t="s">
        <v>571</v>
      </c>
      <c r="C444" s="135">
        <v>25</v>
      </c>
      <c r="D444" s="111" t="s">
        <v>526</v>
      </c>
      <c r="E444" s="123">
        <v>0</v>
      </c>
      <c r="F444" s="109" t="s">
        <v>825</v>
      </c>
      <c r="G444" s="42">
        <v>2</v>
      </c>
      <c r="H444" s="151">
        <f t="shared" si="31"/>
        <v>368</v>
      </c>
      <c r="I444" s="107" t="s">
        <v>474</v>
      </c>
      <c r="J444" s="40"/>
    </row>
    <row r="445" spans="1:10" ht="33.75">
      <c r="A445" s="41" t="s">
        <v>876</v>
      </c>
      <c r="B445" s="44" t="s">
        <v>571</v>
      </c>
      <c r="C445" s="164">
        <v>26</v>
      </c>
      <c r="D445" s="111" t="s">
        <v>643</v>
      </c>
      <c r="E445" s="123">
        <v>0</v>
      </c>
      <c r="F445" s="109" t="s">
        <v>825</v>
      </c>
      <c r="G445" s="42">
        <v>1</v>
      </c>
      <c r="H445" s="151">
        <f t="shared" si="31"/>
        <v>369</v>
      </c>
      <c r="I445" s="107" t="s">
        <v>1449</v>
      </c>
      <c r="J445" s="40"/>
    </row>
    <row r="446" spans="1:10">
      <c r="A446" s="41" t="s">
        <v>876</v>
      </c>
      <c r="B446" s="44" t="s">
        <v>571</v>
      </c>
      <c r="C446" s="164">
        <v>27</v>
      </c>
      <c r="D446" s="111" t="s">
        <v>768</v>
      </c>
      <c r="E446" s="123">
        <v>0</v>
      </c>
      <c r="F446" s="109" t="s">
        <v>825</v>
      </c>
      <c r="G446" s="42">
        <v>40</v>
      </c>
      <c r="H446" s="151">
        <f t="shared" si="31"/>
        <v>409</v>
      </c>
      <c r="I446" s="107" t="s">
        <v>222</v>
      </c>
      <c r="J446" s="40"/>
    </row>
    <row r="447" spans="1:10">
      <c r="A447" s="41" t="s">
        <v>876</v>
      </c>
      <c r="B447" s="44" t="s">
        <v>571</v>
      </c>
      <c r="C447" s="135">
        <v>28</v>
      </c>
      <c r="D447" s="111" t="s">
        <v>546</v>
      </c>
      <c r="E447" s="123">
        <v>0</v>
      </c>
      <c r="F447" s="109" t="s">
        <v>825</v>
      </c>
      <c r="G447" s="42">
        <v>8</v>
      </c>
      <c r="H447" s="151">
        <f t="shared" si="31"/>
        <v>417</v>
      </c>
      <c r="I447" s="107" t="s">
        <v>353</v>
      </c>
      <c r="J447" s="40"/>
    </row>
    <row r="448" spans="1:10" ht="45">
      <c r="A448" s="41" t="s">
        <v>876</v>
      </c>
      <c r="B448" s="44" t="s">
        <v>571</v>
      </c>
      <c r="C448" s="164">
        <v>29</v>
      </c>
      <c r="D448" s="111" t="s">
        <v>440</v>
      </c>
      <c r="E448" s="123">
        <v>0</v>
      </c>
      <c r="F448" s="109" t="s">
        <v>825</v>
      </c>
      <c r="G448" s="42">
        <v>1</v>
      </c>
      <c r="H448" s="151">
        <f t="shared" si="31"/>
        <v>418</v>
      </c>
      <c r="I448" s="107" t="s">
        <v>191</v>
      </c>
      <c r="J448" s="40"/>
    </row>
    <row r="449" spans="1:10">
      <c r="A449" s="41" t="s">
        <v>876</v>
      </c>
      <c r="B449" s="44" t="s">
        <v>571</v>
      </c>
      <c r="C449" s="164">
        <v>30</v>
      </c>
      <c r="D449" s="111" t="s">
        <v>766</v>
      </c>
      <c r="E449" s="123">
        <v>0</v>
      </c>
      <c r="F449" s="122" t="s">
        <v>806</v>
      </c>
      <c r="G449" s="42">
        <v>9</v>
      </c>
      <c r="H449" s="151">
        <f t="shared" si="31"/>
        <v>427</v>
      </c>
      <c r="I449" s="107"/>
      <c r="J449" s="40"/>
    </row>
    <row r="450" spans="1:10">
      <c r="A450" s="41" t="s">
        <v>876</v>
      </c>
      <c r="B450" s="44" t="s">
        <v>571</v>
      </c>
      <c r="C450" s="135">
        <v>31</v>
      </c>
      <c r="D450" s="111" t="s">
        <v>776</v>
      </c>
      <c r="E450" s="123">
        <v>0</v>
      </c>
      <c r="F450" s="122" t="s">
        <v>806</v>
      </c>
      <c r="G450" s="42">
        <v>9</v>
      </c>
      <c r="H450" s="151">
        <f t="shared" si="31"/>
        <v>436</v>
      </c>
      <c r="I450" s="107"/>
      <c r="J450" s="40"/>
    </row>
    <row r="451" spans="1:10">
      <c r="A451" s="41" t="s">
        <v>876</v>
      </c>
      <c r="B451" s="44" t="s">
        <v>571</v>
      </c>
      <c r="C451" s="164">
        <v>32</v>
      </c>
      <c r="D451" s="111" t="s">
        <v>742</v>
      </c>
      <c r="E451" s="123">
        <v>0</v>
      </c>
      <c r="F451" s="109" t="s">
        <v>825</v>
      </c>
      <c r="G451" s="42">
        <v>4</v>
      </c>
      <c r="H451" s="151">
        <f t="shared" si="31"/>
        <v>440</v>
      </c>
      <c r="I451" s="107" t="s">
        <v>850</v>
      </c>
      <c r="J451" s="40"/>
    </row>
    <row r="452" spans="1:10">
      <c r="A452" s="41" t="s">
        <v>876</v>
      </c>
      <c r="B452" s="44" t="s">
        <v>571</v>
      </c>
      <c r="C452" s="164">
        <v>33</v>
      </c>
      <c r="D452" s="111" t="s">
        <v>722</v>
      </c>
      <c r="E452" s="123">
        <v>0</v>
      </c>
      <c r="F452" s="109" t="s">
        <v>825</v>
      </c>
      <c r="G452" s="42">
        <v>4</v>
      </c>
      <c r="H452" s="151">
        <f t="shared" si="31"/>
        <v>444</v>
      </c>
      <c r="I452" s="107" t="s">
        <v>850</v>
      </c>
      <c r="J452" s="40"/>
    </row>
    <row r="453" spans="1:10">
      <c r="A453" s="41" t="s">
        <v>876</v>
      </c>
      <c r="B453" s="44" t="s">
        <v>571</v>
      </c>
      <c r="C453" s="135">
        <v>34</v>
      </c>
      <c r="D453" s="111" t="s">
        <v>335</v>
      </c>
      <c r="E453" s="123">
        <v>0</v>
      </c>
      <c r="F453" s="122" t="s">
        <v>806</v>
      </c>
      <c r="G453" s="42">
        <v>17</v>
      </c>
      <c r="H453" s="151">
        <f t="shared" si="31"/>
        <v>461</v>
      </c>
      <c r="I453" s="107"/>
      <c r="J453" s="40"/>
    </row>
    <row r="454" spans="1:10">
      <c r="A454" s="41" t="s">
        <v>876</v>
      </c>
      <c r="B454" s="44" t="s">
        <v>571</v>
      </c>
      <c r="C454" s="164">
        <v>35</v>
      </c>
      <c r="D454" s="111" t="s">
        <v>342</v>
      </c>
      <c r="E454" s="123">
        <v>0</v>
      </c>
      <c r="F454" s="122" t="s">
        <v>806</v>
      </c>
      <c r="G454" s="42">
        <v>18</v>
      </c>
      <c r="H454" s="151">
        <f t="shared" si="31"/>
        <v>479</v>
      </c>
      <c r="I454" s="107" t="s">
        <v>622</v>
      </c>
      <c r="J454" s="40"/>
    </row>
    <row r="455" spans="1:10" ht="22.5">
      <c r="A455" s="41" t="s">
        <v>876</v>
      </c>
      <c r="B455" s="44" t="s">
        <v>571</v>
      </c>
      <c r="C455" s="164">
        <v>36</v>
      </c>
      <c r="D455" s="111" t="s">
        <v>743</v>
      </c>
      <c r="E455" s="123">
        <v>0</v>
      </c>
      <c r="F455" s="109" t="s">
        <v>825</v>
      </c>
      <c r="G455" s="42">
        <v>1</v>
      </c>
      <c r="H455" s="151">
        <f t="shared" si="31"/>
        <v>480</v>
      </c>
      <c r="I455" s="107" t="s">
        <v>1450</v>
      </c>
      <c r="J455" s="40"/>
    </row>
    <row r="456" spans="1:10">
      <c r="A456" s="41" t="s">
        <v>876</v>
      </c>
      <c r="B456" s="44" t="s">
        <v>571</v>
      </c>
      <c r="C456" s="135">
        <v>37</v>
      </c>
      <c r="D456" s="111" t="s">
        <v>723</v>
      </c>
      <c r="E456" s="123">
        <v>0</v>
      </c>
      <c r="F456" s="122" t="s">
        <v>806</v>
      </c>
      <c r="G456" s="42">
        <v>9</v>
      </c>
      <c r="H456" s="151">
        <f t="shared" si="31"/>
        <v>489</v>
      </c>
      <c r="I456" s="107" t="s">
        <v>622</v>
      </c>
      <c r="J456" s="40"/>
    </row>
    <row r="457" spans="1:10" ht="45">
      <c r="A457" s="41" t="s">
        <v>876</v>
      </c>
      <c r="B457" s="44" t="s">
        <v>571</v>
      </c>
      <c r="C457" s="164">
        <v>38</v>
      </c>
      <c r="D457" s="203" t="s">
        <v>1630</v>
      </c>
      <c r="E457" s="337">
        <v>0</v>
      </c>
      <c r="F457" s="180" t="s">
        <v>825</v>
      </c>
      <c r="G457" s="338">
        <v>1</v>
      </c>
      <c r="H457" s="339">
        <f t="shared" si="31"/>
        <v>490</v>
      </c>
      <c r="I457" s="235" t="s">
        <v>1634</v>
      </c>
      <c r="J457" s="40"/>
    </row>
    <row r="458" spans="1:10" ht="45">
      <c r="A458" s="41" t="s">
        <v>876</v>
      </c>
      <c r="B458" s="44" t="s">
        <v>571</v>
      </c>
      <c r="C458" s="164">
        <v>39</v>
      </c>
      <c r="D458" s="203" t="s">
        <v>1632</v>
      </c>
      <c r="E458" s="337">
        <v>0</v>
      </c>
      <c r="F458" s="180" t="s">
        <v>825</v>
      </c>
      <c r="G458" s="338">
        <v>1</v>
      </c>
      <c r="H458" s="339">
        <f t="shared" si="31"/>
        <v>491</v>
      </c>
      <c r="I458" s="340" t="s">
        <v>1633</v>
      </c>
      <c r="J458" s="40"/>
    </row>
    <row r="459" spans="1:10">
      <c r="A459" s="41" t="s">
        <v>876</v>
      </c>
      <c r="B459" s="44" t="s">
        <v>571</v>
      </c>
      <c r="C459" s="135">
        <v>40</v>
      </c>
      <c r="D459" s="111" t="s">
        <v>756</v>
      </c>
      <c r="E459" s="123">
        <v>0</v>
      </c>
      <c r="F459" s="122" t="s">
        <v>806</v>
      </c>
      <c r="G459" s="42">
        <v>14</v>
      </c>
      <c r="H459" s="151">
        <f t="shared" si="31"/>
        <v>505</v>
      </c>
      <c r="I459" s="107" t="s">
        <v>144</v>
      </c>
      <c r="J459" s="40"/>
    </row>
    <row r="460" spans="1:10">
      <c r="A460" s="41" t="s">
        <v>876</v>
      </c>
      <c r="B460" s="44" t="s">
        <v>571</v>
      </c>
      <c r="C460" s="164">
        <v>41</v>
      </c>
      <c r="D460" s="111" t="s">
        <v>465</v>
      </c>
      <c r="E460" s="123">
        <v>0</v>
      </c>
      <c r="F460" s="122" t="s">
        <v>806</v>
      </c>
      <c r="G460" s="42">
        <v>9</v>
      </c>
      <c r="H460" s="151">
        <f t="shared" si="31"/>
        <v>514</v>
      </c>
      <c r="I460" s="107"/>
      <c r="J460" s="40"/>
    </row>
    <row r="461" spans="1:10">
      <c r="A461" s="41" t="s">
        <v>876</v>
      </c>
      <c r="B461" s="44" t="s">
        <v>571</v>
      </c>
      <c r="C461" s="164">
        <v>42</v>
      </c>
      <c r="D461" s="111" t="s">
        <v>471</v>
      </c>
      <c r="E461" s="123">
        <v>0</v>
      </c>
      <c r="F461" s="122" t="s">
        <v>806</v>
      </c>
      <c r="G461" s="42">
        <v>9</v>
      </c>
      <c r="H461" s="151">
        <f t="shared" si="31"/>
        <v>523</v>
      </c>
      <c r="I461" s="107"/>
      <c r="J461" s="40"/>
    </row>
    <row r="462" spans="1:10" ht="22.5">
      <c r="A462" s="41" t="s">
        <v>876</v>
      </c>
      <c r="B462" s="44" t="s">
        <v>571</v>
      </c>
      <c r="C462" s="135">
        <v>43</v>
      </c>
      <c r="D462" s="111" t="s">
        <v>752</v>
      </c>
      <c r="E462" s="123">
        <v>0</v>
      </c>
      <c r="F462" s="109" t="s">
        <v>825</v>
      </c>
      <c r="G462" s="42">
        <v>1</v>
      </c>
      <c r="H462" s="151">
        <f t="shared" si="31"/>
        <v>524</v>
      </c>
      <c r="I462" s="107" t="s">
        <v>209</v>
      </c>
      <c r="J462" s="40"/>
    </row>
    <row r="463" spans="1:10">
      <c r="A463" s="41" t="s">
        <v>876</v>
      </c>
      <c r="B463" s="44" t="s">
        <v>571</v>
      </c>
      <c r="C463" s="164">
        <v>44</v>
      </c>
      <c r="D463" s="111" t="s">
        <v>163</v>
      </c>
      <c r="E463" s="123">
        <v>0</v>
      </c>
      <c r="F463" s="109" t="s">
        <v>825</v>
      </c>
      <c r="G463" s="42">
        <v>8</v>
      </c>
      <c r="H463" s="151">
        <f t="shared" si="31"/>
        <v>532</v>
      </c>
      <c r="I463" s="107" t="s">
        <v>353</v>
      </c>
      <c r="J463" s="40"/>
    </row>
    <row r="464" spans="1:10">
      <c r="A464" s="41" t="s">
        <v>876</v>
      </c>
      <c r="B464" s="44" t="s">
        <v>571</v>
      </c>
      <c r="C464" s="164">
        <v>45</v>
      </c>
      <c r="D464" s="111" t="s">
        <v>338</v>
      </c>
      <c r="E464" s="123">
        <v>0</v>
      </c>
      <c r="F464" s="109" t="s">
        <v>825</v>
      </c>
      <c r="G464" s="42">
        <v>8</v>
      </c>
      <c r="H464" s="151">
        <f t="shared" si="31"/>
        <v>540</v>
      </c>
      <c r="I464" s="107" t="s">
        <v>353</v>
      </c>
      <c r="J464" s="40"/>
    </row>
    <row r="465" spans="1:10">
      <c r="A465" s="41" t="s">
        <v>876</v>
      </c>
      <c r="B465" s="44" t="s">
        <v>571</v>
      </c>
      <c r="C465" s="135">
        <v>46</v>
      </c>
      <c r="D465" s="111" t="s">
        <v>153</v>
      </c>
      <c r="E465" s="123">
        <v>0</v>
      </c>
      <c r="F465" s="109" t="s">
        <v>825</v>
      </c>
      <c r="G465" s="42">
        <v>8</v>
      </c>
      <c r="H465" s="151">
        <f t="shared" si="31"/>
        <v>548</v>
      </c>
      <c r="I465" s="107" t="s">
        <v>353</v>
      </c>
      <c r="J465" s="40"/>
    </row>
    <row r="466" spans="1:10">
      <c r="A466" s="41" t="s">
        <v>876</v>
      </c>
      <c r="B466" s="44" t="s">
        <v>571</v>
      </c>
      <c r="C466" s="164">
        <v>47</v>
      </c>
      <c r="D466" s="111" t="s">
        <v>320</v>
      </c>
      <c r="E466" s="123">
        <v>0</v>
      </c>
      <c r="F466" s="109" t="s">
        <v>825</v>
      </c>
      <c r="G466" s="42">
        <v>8</v>
      </c>
      <c r="H466" s="151">
        <f t="shared" si="31"/>
        <v>556</v>
      </c>
      <c r="I466" s="107" t="s">
        <v>353</v>
      </c>
      <c r="J466" s="40"/>
    </row>
    <row r="467" spans="1:10">
      <c r="A467" s="41" t="s">
        <v>876</v>
      </c>
      <c r="B467" s="44" t="s">
        <v>571</v>
      </c>
      <c r="C467" s="164">
        <v>48</v>
      </c>
      <c r="D467" s="111" t="s">
        <v>166</v>
      </c>
      <c r="E467" s="123">
        <v>0</v>
      </c>
      <c r="F467" s="109" t="s">
        <v>825</v>
      </c>
      <c r="G467" s="42">
        <v>8</v>
      </c>
      <c r="H467" s="151">
        <f t="shared" si="31"/>
        <v>564</v>
      </c>
      <c r="I467" s="107" t="s">
        <v>353</v>
      </c>
      <c r="J467" s="40"/>
    </row>
    <row r="468" spans="1:10">
      <c r="A468" s="41" t="s">
        <v>876</v>
      </c>
      <c r="B468" s="44" t="s">
        <v>571</v>
      </c>
      <c r="C468" s="135">
        <v>49</v>
      </c>
      <c r="D468" s="111" t="s">
        <v>310</v>
      </c>
      <c r="E468" s="123">
        <v>0</v>
      </c>
      <c r="F468" s="109" t="s">
        <v>825</v>
      </c>
      <c r="G468" s="42">
        <v>8</v>
      </c>
      <c r="H468" s="151">
        <f t="shared" si="31"/>
        <v>572</v>
      </c>
      <c r="I468" s="107" t="s">
        <v>353</v>
      </c>
      <c r="J468" s="40"/>
    </row>
    <row r="469" spans="1:10">
      <c r="A469" s="41" t="s">
        <v>876</v>
      </c>
      <c r="B469" s="44" t="s">
        <v>571</v>
      </c>
      <c r="C469" s="164">
        <v>50</v>
      </c>
      <c r="D469" s="111" t="s">
        <v>171</v>
      </c>
      <c r="E469" s="123">
        <v>0</v>
      </c>
      <c r="F469" s="109" t="s">
        <v>825</v>
      </c>
      <c r="G469" s="42">
        <v>8</v>
      </c>
      <c r="H469" s="151">
        <f t="shared" si="31"/>
        <v>580</v>
      </c>
      <c r="I469" s="107" t="s">
        <v>353</v>
      </c>
      <c r="J469" s="40"/>
    </row>
    <row r="470" spans="1:10">
      <c r="A470" s="41" t="s">
        <v>876</v>
      </c>
      <c r="B470" s="44" t="s">
        <v>571</v>
      </c>
      <c r="C470" s="164">
        <v>51</v>
      </c>
      <c r="D470" s="111" t="s">
        <v>327</v>
      </c>
      <c r="E470" s="123">
        <v>0</v>
      </c>
      <c r="F470" s="109" t="s">
        <v>825</v>
      </c>
      <c r="G470" s="42">
        <v>8</v>
      </c>
      <c r="H470" s="151">
        <f t="shared" si="31"/>
        <v>588</v>
      </c>
      <c r="I470" s="107" t="s">
        <v>353</v>
      </c>
      <c r="J470" s="40"/>
    </row>
    <row r="471" spans="1:10">
      <c r="A471" s="41" t="s">
        <v>876</v>
      </c>
      <c r="B471" s="44" t="s">
        <v>571</v>
      </c>
      <c r="C471" s="135">
        <v>52</v>
      </c>
      <c r="D471" s="111" t="s">
        <v>168</v>
      </c>
      <c r="E471" s="123">
        <v>0</v>
      </c>
      <c r="F471" s="109" t="s">
        <v>825</v>
      </c>
      <c r="G471" s="42">
        <v>8</v>
      </c>
      <c r="H471" s="151">
        <f t="shared" si="31"/>
        <v>596</v>
      </c>
      <c r="I471" s="107" t="s">
        <v>353</v>
      </c>
      <c r="J471" s="40"/>
    </row>
    <row r="472" spans="1:10">
      <c r="A472" s="41" t="s">
        <v>876</v>
      </c>
      <c r="B472" s="44" t="s">
        <v>571</v>
      </c>
      <c r="C472" s="164">
        <v>53</v>
      </c>
      <c r="D472" s="111" t="s">
        <v>329</v>
      </c>
      <c r="E472" s="123">
        <v>0</v>
      </c>
      <c r="F472" s="109" t="s">
        <v>825</v>
      </c>
      <c r="G472" s="42">
        <v>8</v>
      </c>
      <c r="H472" s="151">
        <f t="shared" si="31"/>
        <v>604</v>
      </c>
      <c r="I472" s="107" t="s">
        <v>353</v>
      </c>
      <c r="J472" s="40"/>
    </row>
    <row r="473" spans="1:10">
      <c r="A473" s="41" t="s">
        <v>876</v>
      </c>
      <c r="B473" s="44" t="s">
        <v>571</v>
      </c>
      <c r="C473" s="164">
        <v>54</v>
      </c>
      <c r="D473" s="111" t="s">
        <v>765</v>
      </c>
      <c r="E473" s="123">
        <v>0</v>
      </c>
      <c r="F473" s="109" t="s">
        <v>825</v>
      </c>
      <c r="G473" s="42">
        <v>1</v>
      </c>
      <c r="H473" s="151">
        <f t="shared" si="31"/>
        <v>605</v>
      </c>
      <c r="I473" s="107" t="s">
        <v>264</v>
      </c>
      <c r="J473" s="40"/>
    </row>
    <row r="474" spans="1:10" ht="135">
      <c r="A474" s="41" t="s">
        <v>876</v>
      </c>
      <c r="B474" s="44" t="s">
        <v>571</v>
      </c>
      <c r="C474" s="135">
        <v>55</v>
      </c>
      <c r="D474" s="111" t="s">
        <v>449</v>
      </c>
      <c r="E474" s="123">
        <v>0</v>
      </c>
      <c r="F474" s="109" t="s">
        <v>825</v>
      </c>
      <c r="G474" s="42">
        <v>2</v>
      </c>
      <c r="H474" s="151">
        <f t="shared" si="31"/>
        <v>607</v>
      </c>
      <c r="I474" s="107" t="s">
        <v>188</v>
      </c>
      <c r="J474" s="40"/>
    </row>
    <row r="475" spans="1:10" ht="22.5">
      <c r="A475" s="41" t="s">
        <v>876</v>
      </c>
      <c r="B475" s="44" t="s">
        <v>571</v>
      </c>
      <c r="C475" s="164">
        <v>56</v>
      </c>
      <c r="D475" s="111" t="s">
        <v>164</v>
      </c>
      <c r="E475" s="123">
        <v>0</v>
      </c>
      <c r="F475" s="109" t="s">
        <v>825</v>
      </c>
      <c r="G475" s="42">
        <v>8</v>
      </c>
      <c r="H475" s="151">
        <f t="shared" si="31"/>
        <v>615</v>
      </c>
      <c r="I475" s="107" t="s">
        <v>353</v>
      </c>
      <c r="J475" s="40"/>
    </row>
    <row r="476" spans="1:10" ht="22.5">
      <c r="A476" s="41" t="s">
        <v>876</v>
      </c>
      <c r="B476" s="44" t="s">
        <v>571</v>
      </c>
      <c r="C476" s="164">
        <v>57</v>
      </c>
      <c r="D476" s="111" t="s">
        <v>283</v>
      </c>
      <c r="E476" s="123">
        <v>0</v>
      </c>
      <c r="F476" s="109" t="s">
        <v>825</v>
      </c>
      <c r="G476" s="42">
        <v>2</v>
      </c>
      <c r="H476" s="151">
        <f t="shared" si="31"/>
        <v>617</v>
      </c>
      <c r="I476" s="107" t="s">
        <v>298</v>
      </c>
      <c r="J476" s="40"/>
    </row>
    <row r="477" spans="1:10" ht="22.5">
      <c r="A477" s="41" t="s">
        <v>876</v>
      </c>
      <c r="B477" s="44" t="s">
        <v>571</v>
      </c>
      <c r="C477" s="135">
        <v>58</v>
      </c>
      <c r="D477" s="111" t="s">
        <v>173</v>
      </c>
      <c r="E477" s="123">
        <v>0</v>
      </c>
      <c r="F477" s="109" t="s">
        <v>825</v>
      </c>
      <c r="G477" s="42">
        <v>8</v>
      </c>
      <c r="H477" s="151">
        <f t="shared" si="31"/>
        <v>625</v>
      </c>
      <c r="I477" s="107" t="s">
        <v>353</v>
      </c>
      <c r="J477" s="40"/>
    </row>
    <row r="478" spans="1:10" ht="22.5">
      <c r="A478" s="41" t="s">
        <v>876</v>
      </c>
      <c r="B478" s="44" t="s">
        <v>571</v>
      </c>
      <c r="C478" s="164">
        <v>59</v>
      </c>
      <c r="D478" s="111" t="s">
        <v>279</v>
      </c>
      <c r="E478" s="123">
        <v>0</v>
      </c>
      <c r="F478" s="109" t="s">
        <v>825</v>
      </c>
      <c r="G478" s="42">
        <v>2</v>
      </c>
      <c r="H478" s="151">
        <f t="shared" si="31"/>
        <v>627</v>
      </c>
      <c r="I478" s="107" t="s">
        <v>298</v>
      </c>
      <c r="J478" s="40"/>
    </row>
    <row r="479" spans="1:10" ht="22.5">
      <c r="A479" s="41" t="s">
        <v>876</v>
      </c>
      <c r="B479" s="44" t="s">
        <v>571</v>
      </c>
      <c r="C479" s="164">
        <v>60</v>
      </c>
      <c r="D479" s="111" t="s">
        <v>185</v>
      </c>
      <c r="E479" s="123">
        <v>0</v>
      </c>
      <c r="F479" s="109" t="s">
        <v>825</v>
      </c>
      <c r="G479" s="42">
        <v>8</v>
      </c>
      <c r="H479" s="151">
        <f t="shared" si="31"/>
        <v>635</v>
      </c>
      <c r="I479" s="107" t="s">
        <v>353</v>
      </c>
      <c r="J479" s="40"/>
    </row>
    <row r="480" spans="1:10" ht="22.5">
      <c r="A480" s="41" t="s">
        <v>876</v>
      </c>
      <c r="B480" s="44" t="s">
        <v>571</v>
      </c>
      <c r="C480" s="135">
        <v>61</v>
      </c>
      <c r="D480" s="111" t="s">
        <v>274</v>
      </c>
      <c r="E480" s="123">
        <v>0</v>
      </c>
      <c r="F480" s="109" t="s">
        <v>825</v>
      </c>
      <c r="G480" s="42">
        <v>2</v>
      </c>
      <c r="H480" s="151">
        <f t="shared" si="31"/>
        <v>637</v>
      </c>
      <c r="I480" s="107" t="s">
        <v>298</v>
      </c>
      <c r="J480" s="40"/>
    </row>
    <row r="481" spans="1:10" ht="22.5">
      <c r="A481" s="41" t="s">
        <v>876</v>
      </c>
      <c r="B481" s="44" t="s">
        <v>571</v>
      </c>
      <c r="C481" s="164">
        <v>62</v>
      </c>
      <c r="D481" s="111" t="s">
        <v>159</v>
      </c>
      <c r="E481" s="123">
        <v>0</v>
      </c>
      <c r="F481" s="109" t="s">
        <v>825</v>
      </c>
      <c r="G481" s="42">
        <v>8</v>
      </c>
      <c r="H481" s="151">
        <f t="shared" si="31"/>
        <v>645</v>
      </c>
      <c r="I481" s="107" t="s">
        <v>353</v>
      </c>
      <c r="J481" s="40"/>
    </row>
    <row r="482" spans="1:10" ht="22.5">
      <c r="A482" s="41" t="s">
        <v>876</v>
      </c>
      <c r="B482" s="44" t="s">
        <v>571</v>
      </c>
      <c r="C482" s="164">
        <v>63</v>
      </c>
      <c r="D482" s="111" t="s">
        <v>289</v>
      </c>
      <c r="E482" s="123">
        <v>0</v>
      </c>
      <c r="F482" s="109" t="s">
        <v>825</v>
      </c>
      <c r="G482" s="42">
        <v>2</v>
      </c>
      <c r="H482" s="151">
        <f t="shared" si="31"/>
        <v>647</v>
      </c>
      <c r="I482" s="107" t="s">
        <v>298</v>
      </c>
      <c r="J482" s="40"/>
    </row>
    <row r="483" spans="1:10" ht="22.5">
      <c r="A483" s="41" t="s">
        <v>876</v>
      </c>
      <c r="B483" s="44" t="s">
        <v>571</v>
      </c>
      <c r="C483" s="135">
        <v>64</v>
      </c>
      <c r="D483" s="111" t="s">
        <v>180</v>
      </c>
      <c r="E483" s="123">
        <v>0</v>
      </c>
      <c r="F483" s="109" t="s">
        <v>825</v>
      </c>
      <c r="G483" s="42">
        <v>8</v>
      </c>
      <c r="H483" s="151">
        <f t="shared" si="31"/>
        <v>655</v>
      </c>
      <c r="I483" s="107" t="s">
        <v>353</v>
      </c>
      <c r="J483" s="40"/>
    </row>
    <row r="484" spans="1:10" ht="22.5">
      <c r="A484" s="41" t="s">
        <v>876</v>
      </c>
      <c r="B484" s="44" t="s">
        <v>571</v>
      </c>
      <c r="C484" s="164">
        <v>65</v>
      </c>
      <c r="D484" s="111" t="s">
        <v>275</v>
      </c>
      <c r="E484" s="123">
        <v>0</v>
      </c>
      <c r="F484" s="109" t="s">
        <v>825</v>
      </c>
      <c r="G484" s="42">
        <v>2</v>
      </c>
      <c r="H484" s="151">
        <f t="shared" si="31"/>
        <v>657</v>
      </c>
      <c r="I484" s="107" t="s">
        <v>298</v>
      </c>
      <c r="J484" s="40"/>
    </row>
    <row r="485" spans="1:10" ht="22.5">
      <c r="A485" s="41" t="s">
        <v>876</v>
      </c>
      <c r="B485" s="44" t="s">
        <v>571</v>
      </c>
      <c r="C485" s="164">
        <v>66</v>
      </c>
      <c r="D485" s="111" t="s">
        <v>182</v>
      </c>
      <c r="E485" s="123">
        <v>0</v>
      </c>
      <c r="F485" s="109" t="s">
        <v>825</v>
      </c>
      <c r="G485" s="42">
        <v>8</v>
      </c>
      <c r="H485" s="151">
        <f t="shared" ref="H485:H514" si="32">H484+G485</f>
        <v>665</v>
      </c>
      <c r="I485" s="107" t="s">
        <v>353</v>
      </c>
      <c r="J485" s="40"/>
    </row>
    <row r="486" spans="1:10" ht="22.5">
      <c r="A486" s="41" t="s">
        <v>876</v>
      </c>
      <c r="B486" s="44" t="s">
        <v>571</v>
      </c>
      <c r="C486" s="135">
        <v>67</v>
      </c>
      <c r="D486" s="111" t="s">
        <v>280</v>
      </c>
      <c r="E486" s="123">
        <v>0</v>
      </c>
      <c r="F486" s="109" t="s">
        <v>825</v>
      </c>
      <c r="G486" s="42">
        <v>2</v>
      </c>
      <c r="H486" s="151">
        <f t="shared" si="32"/>
        <v>667</v>
      </c>
      <c r="I486" s="107" t="s">
        <v>298</v>
      </c>
      <c r="J486" s="40"/>
    </row>
    <row r="487" spans="1:10" ht="22.5">
      <c r="A487" s="41" t="s">
        <v>876</v>
      </c>
      <c r="B487" s="44" t="s">
        <v>571</v>
      </c>
      <c r="C487" s="164">
        <v>68</v>
      </c>
      <c r="D487" s="111" t="s">
        <v>156</v>
      </c>
      <c r="E487" s="123">
        <v>0</v>
      </c>
      <c r="F487" s="109" t="s">
        <v>825</v>
      </c>
      <c r="G487" s="42">
        <v>8</v>
      </c>
      <c r="H487" s="151">
        <f t="shared" si="32"/>
        <v>675</v>
      </c>
      <c r="I487" s="107" t="s">
        <v>353</v>
      </c>
      <c r="J487" s="40"/>
    </row>
    <row r="488" spans="1:10" ht="22.5">
      <c r="A488" s="41" t="s">
        <v>876</v>
      </c>
      <c r="B488" s="44" t="s">
        <v>571</v>
      </c>
      <c r="C488" s="164">
        <v>69</v>
      </c>
      <c r="D488" s="111" t="s">
        <v>262</v>
      </c>
      <c r="E488" s="123">
        <v>0</v>
      </c>
      <c r="F488" s="109" t="s">
        <v>825</v>
      </c>
      <c r="G488" s="42">
        <v>2</v>
      </c>
      <c r="H488" s="151">
        <f t="shared" si="32"/>
        <v>677</v>
      </c>
      <c r="I488" s="107" t="s">
        <v>298</v>
      </c>
      <c r="J488" s="40"/>
    </row>
    <row r="489" spans="1:10" ht="22.5">
      <c r="A489" s="41" t="s">
        <v>876</v>
      </c>
      <c r="B489" s="44" t="s">
        <v>571</v>
      </c>
      <c r="C489" s="135">
        <v>70</v>
      </c>
      <c r="D489" s="111" t="s">
        <v>174</v>
      </c>
      <c r="E489" s="123">
        <v>0</v>
      </c>
      <c r="F489" s="109" t="s">
        <v>825</v>
      </c>
      <c r="G489" s="42">
        <v>8</v>
      </c>
      <c r="H489" s="151">
        <f t="shared" si="32"/>
        <v>685</v>
      </c>
      <c r="I489" s="107" t="s">
        <v>353</v>
      </c>
      <c r="J489" s="40"/>
    </row>
    <row r="490" spans="1:10" ht="22.5">
      <c r="A490" s="41" t="s">
        <v>876</v>
      </c>
      <c r="B490" s="44" t="s">
        <v>571</v>
      </c>
      <c r="C490" s="164">
        <v>71</v>
      </c>
      <c r="D490" s="111" t="s">
        <v>269</v>
      </c>
      <c r="E490" s="123">
        <v>0</v>
      </c>
      <c r="F490" s="109" t="s">
        <v>825</v>
      </c>
      <c r="G490" s="42">
        <v>2</v>
      </c>
      <c r="H490" s="151">
        <f t="shared" si="32"/>
        <v>687</v>
      </c>
      <c r="I490" s="107" t="s">
        <v>298</v>
      </c>
      <c r="J490" s="40"/>
    </row>
    <row r="491" spans="1:10" ht="22.5">
      <c r="A491" s="41" t="s">
        <v>876</v>
      </c>
      <c r="B491" s="44" t="s">
        <v>571</v>
      </c>
      <c r="C491" s="164">
        <v>72</v>
      </c>
      <c r="D491" s="111" t="s">
        <v>181</v>
      </c>
      <c r="E491" s="123">
        <v>0</v>
      </c>
      <c r="F491" s="109" t="s">
        <v>825</v>
      </c>
      <c r="G491" s="42">
        <v>8</v>
      </c>
      <c r="H491" s="151">
        <f t="shared" si="32"/>
        <v>695</v>
      </c>
      <c r="I491" s="107" t="s">
        <v>353</v>
      </c>
      <c r="J491" s="40"/>
    </row>
    <row r="492" spans="1:10" ht="22.5">
      <c r="A492" s="41" t="s">
        <v>876</v>
      </c>
      <c r="B492" s="44" t="s">
        <v>571</v>
      </c>
      <c r="C492" s="135">
        <v>73</v>
      </c>
      <c r="D492" s="111" t="s">
        <v>317</v>
      </c>
      <c r="E492" s="123">
        <v>0</v>
      </c>
      <c r="F492" s="109" t="s">
        <v>825</v>
      </c>
      <c r="G492" s="42">
        <v>2</v>
      </c>
      <c r="H492" s="151">
        <f t="shared" si="32"/>
        <v>697</v>
      </c>
      <c r="I492" s="107" t="s">
        <v>298</v>
      </c>
      <c r="J492" s="50"/>
    </row>
    <row r="493" spans="1:10" ht="22.5">
      <c r="A493" s="41" t="s">
        <v>876</v>
      </c>
      <c r="B493" s="44" t="s">
        <v>571</v>
      </c>
      <c r="C493" s="164">
        <v>74</v>
      </c>
      <c r="D493" s="111" t="s">
        <v>161</v>
      </c>
      <c r="E493" s="123">
        <v>0</v>
      </c>
      <c r="F493" s="109" t="s">
        <v>825</v>
      </c>
      <c r="G493" s="42">
        <v>8</v>
      </c>
      <c r="H493" s="151">
        <f t="shared" si="32"/>
        <v>705</v>
      </c>
      <c r="I493" s="107" t="s">
        <v>353</v>
      </c>
      <c r="J493" s="50"/>
    </row>
    <row r="494" spans="1:10" ht="22.5">
      <c r="A494" s="41" t="s">
        <v>876</v>
      </c>
      <c r="B494" s="44" t="s">
        <v>571</v>
      </c>
      <c r="C494" s="164">
        <v>75</v>
      </c>
      <c r="D494" s="111" t="s">
        <v>341</v>
      </c>
      <c r="E494" s="123">
        <v>0</v>
      </c>
      <c r="F494" s="109" t="s">
        <v>825</v>
      </c>
      <c r="G494" s="42">
        <v>2</v>
      </c>
      <c r="H494" s="151">
        <f t="shared" si="32"/>
        <v>707</v>
      </c>
      <c r="I494" s="107" t="s">
        <v>298</v>
      </c>
      <c r="J494" s="50"/>
    </row>
    <row r="495" spans="1:10" ht="22.5">
      <c r="A495" s="41" t="s">
        <v>876</v>
      </c>
      <c r="B495" s="44" t="s">
        <v>571</v>
      </c>
      <c r="C495" s="135">
        <v>76</v>
      </c>
      <c r="D495" s="111" t="s">
        <v>172</v>
      </c>
      <c r="E495" s="123">
        <v>0</v>
      </c>
      <c r="F495" s="109" t="s">
        <v>825</v>
      </c>
      <c r="G495" s="42">
        <v>8</v>
      </c>
      <c r="H495" s="151">
        <f t="shared" si="32"/>
        <v>715</v>
      </c>
      <c r="I495" s="107" t="s">
        <v>353</v>
      </c>
      <c r="J495" s="50"/>
    </row>
    <row r="496" spans="1:10" ht="22.5">
      <c r="A496" s="41" t="s">
        <v>876</v>
      </c>
      <c r="B496" s="44" t="s">
        <v>571</v>
      </c>
      <c r="C496" s="164">
        <v>77</v>
      </c>
      <c r="D496" s="111" t="s">
        <v>314</v>
      </c>
      <c r="E496" s="123">
        <v>0</v>
      </c>
      <c r="F496" s="109" t="s">
        <v>825</v>
      </c>
      <c r="G496" s="42">
        <v>2</v>
      </c>
      <c r="H496" s="151">
        <f t="shared" si="32"/>
        <v>717</v>
      </c>
      <c r="I496" s="107" t="s">
        <v>298</v>
      </c>
      <c r="J496" s="50"/>
    </row>
    <row r="497" spans="1:10" ht="22.5">
      <c r="A497" s="41" t="s">
        <v>876</v>
      </c>
      <c r="B497" s="44" t="s">
        <v>571</v>
      </c>
      <c r="C497" s="164">
        <v>78</v>
      </c>
      <c r="D497" s="111" t="s">
        <v>158</v>
      </c>
      <c r="E497" s="123">
        <v>0</v>
      </c>
      <c r="F497" s="109" t="s">
        <v>825</v>
      </c>
      <c r="G497" s="42">
        <v>8</v>
      </c>
      <c r="H497" s="151">
        <f t="shared" si="32"/>
        <v>725</v>
      </c>
      <c r="I497" s="107" t="s">
        <v>353</v>
      </c>
      <c r="J497" s="50"/>
    </row>
    <row r="498" spans="1:10" ht="22.5">
      <c r="A498" s="41" t="s">
        <v>876</v>
      </c>
      <c r="B498" s="44" t="s">
        <v>571</v>
      </c>
      <c r="C498" s="135">
        <v>79</v>
      </c>
      <c r="D498" s="111" t="s">
        <v>307</v>
      </c>
      <c r="E498" s="123">
        <v>0</v>
      </c>
      <c r="F498" s="109" t="s">
        <v>825</v>
      </c>
      <c r="G498" s="42">
        <v>2</v>
      </c>
      <c r="H498" s="151">
        <f t="shared" si="32"/>
        <v>727</v>
      </c>
      <c r="I498" s="107" t="s">
        <v>298</v>
      </c>
      <c r="J498" s="50"/>
    </row>
    <row r="499" spans="1:10" ht="22.5">
      <c r="A499" s="41" t="s">
        <v>876</v>
      </c>
      <c r="B499" s="44" t="s">
        <v>571</v>
      </c>
      <c r="C499" s="164">
        <v>80</v>
      </c>
      <c r="D499" s="111" t="s">
        <v>179</v>
      </c>
      <c r="E499" s="123">
        <v>0</v>
      </c>
      <c r="F499" s="109" t="s">
        <v>825</v>
      </c>
      <c r="G499" s="42">
        <v>8</v>
      </c>
      <c r="H499" s="151">
        <f t="shared" si="32"/>
        <v>735</v>
      </c>
      <c r="I499" s="107" t="s">
        <v>353</v>
      </c>
      <c r="J499" s="50"/>
    </row>
    <row r="500" spans="1:10" ht="22.5">
      <c r="A500" s="41" t="s">
        <v>876</v>
      </c>
      <c r="B500" s="44" t="s">
        <v>571</v>
      </c>
      <c r="C500" s="164">
        <v>81</v>
      </c>
      <c r="D500" s="111" t="s">
        <v>333</v>
      </c>
      <c r="E500" s="123">
        <v>0</v>
      </c>
      <c r="F500" s="109" t="s">
        <v>825</v>
      </c>
      <c r="G500" s="42">
        <v>2</v>
      </c>
      <c r="H500" s="151">
        <f t="shared" si="32"/>
        <v>737</v>
      </c>
      <c r="I500" s="107" t="s">
        <v>298</v>
      </c>
      <c r="J500" s="50"/>
    </row>
    <row r="501" spans="1:10" ht="22.5">
      <c r="A501" s="41" t="s">
        <v>876</v>
      </c>
      <c r="B501" s="44" t="s">
        <v>571</v>
      </c>
      <c r="C501" s="135">
        <v>82</v>
      </c>
      <c r="D501" s="111" t="s">
        <v>183</v>
      </c>
      <c r="E501" s="123">
        <v>0</v>
      </c>
      <c r="F501" s="109" t="s">
        <v>825</v>
      </c>
      <c r="G501" s="42">
        <v>8</v>
      </c>
      <c r="H501" s="151">
        <f t="shared" si="32"/>
        <v>745</v>
      </c>
      <c r="I501" s="107" t="s">
        <v>353</v>
      </c>
      <c r="J501" s="50"/>
    </row>
    <row r="502" spans="1:10" ht="22.5">
      <c r="A502" s="41" t="s">
        <v>876</v>
      </c>
      <c r="B502" s="44" t="s">
        <v>571</v>
      </c>
      <c r="C502" s="164">
        <v>83</v>
      </c>
      <c r="D502" s="111" t="s">
        <v>326</v>
      </c>
      <c r="E502" s="123">
        <v>0</v>
      </c>
      <c r="F502" s="109" t="s">
        <v>825</v>
      </c>
      <c r="G502" s="42">
        <v>2</v>
      </c>
      <c r="H502" s="151">
        <f t="shared" si="32"/>
        <v>747</v>
      </c>
      <c r="I502" s="107" t="s">
        <v>298</v>
      </c>
      <c r="J502" s="50"/>
    </row>
    <row r="503" spans="1:10" ht="22.5">
      <c r="A503" s="41" t="s">
        <v>876</v>
      </c>
      <c r="B503" s="44" t="s">
        <v>571</v>
      </c>
      <c r="C503" s="164">
        <v>84</v>
      </c>
      <c r="D503" s="111" t="s">
        <v>157</v>
      </c>
      <c r="E503" s="123">
        <v>0</v>
      </c>
      <c r="F503" s="109" t="s">
        <v>825</v>
      </c>
      <c r="G503" s="42">
        <v>8</v>
      </c>
      <c r="H503" s="151">
        <f t="shared" si="32"/>
        <v>755</v>
      </c>
      <c r="I503" s="107" t="s">
        <v>353</v>
      </c>
      <c r="J503" s="50"/>
    </row>
    <row r="504" spans="1:10">
      <c r="A504" s="41" t="s">
        <v>876</v>
      </c>
      <c r="B504" s="44" t="s">
        <v>571</v>
      </c>
      <c r="C504" s="135">
        <v>85</v>
      </c>
      <c r="D504" s="111" t="s">
        <v>856</v>
      </c>
      <c r="E504" s="123">
        <v>0</v>
      </c>
      <c r="F504" s="109" t="s">
        <v>825</v>
      </c>
      <c r="G504" s="42">
        <v>1</v>
      </c>
      <c r="H504" s="151">
        <f t="shared" si="32"/>
        <v>756</v>
      </c>
      <c r="I504" s="107" t="s">
        <v>787</v>
      </c>
      <c r="J504" s="50"/>
    </row>
    <row r="505" spans="1:10">
      <c r="A505" s="41" t="s">
        <v>876</v>
      </c>
      <c r="B505" s="44" t="s">
        <v>571</v>
      </c>
      <c r="C505" s="164">
        <v>86</v>
      </c>
      <c r="D505" s="111" t="s">
        <v>696</v>
      </c>
      <c r="E505" s="123">
        <v>0</v>
      </c>
      <c r="F505" s="109" t="s">
        <v>825</v>
      </c>
      <c r="G505" s="42">
        <v>1</v>
      </c>
      <c r="H505" s="151">
        <f t="shared" si="32"/>
        <v>757</v>
      </c>
      <c r="I505" s="107" t="s">
        <v>324</v>
      </c>
      <c r="J505" s="50"/>
    </row>
    <row r="506" spans="1:10">
      <c r="A506" s="41" t="s">
        <v>876</v>
      </c>
      <c r="B506" s="44" t="s">
        <v>571</v>
      </c>
      <c r="C506" s="164">
        <v>87</v>
      </c>
      <c r="D506" s="111" t="s">
        <v>760</v>
      </c>
      <c r="E506" s="123">
        <v>0</v>
      </c>
      <c r="F506" s="109" t="s">
        <v>825</v>
      </c>
      <c r="G506" s="42">
        <v>2</v>
      </c>
      <c r="H506" s="151">
        <f t="shared" si="32"/>
        <v>759</v>
      </c>
      <c r="I506" s="107" t="s">
        <v>324</v>
      </c>
      <c r="J506" s="50"/>
    </row>
    <row r="507" spans="1:10">
      <c r="A507" s="41" t="s">
        <v>876</v>
      </c>
      <c r="B507" s="44" t="s">
        <v>571</v>
      </c>
      <c r="C507" s="135">
        <v>88</v>
      </c>
      <c r="D507" s="111" t="s">
        <v>771</v>
      </c>
      <c r="E507" s="123">
        <v>0</v>
      </c>
      <c r="F507" s="109" t="s">
        <v>825</v>
      </c>
      <c r="G507" s="42">
        <v>2</v>
      </c>
      <c r="H507" s="151">
        <f t="shared" si="32"/>
        <v>761</v>
      </c>
      <c r="I507" s="107" t="s">
        <v>324</v>
      </c>
      <c r="J507" s="50"/>
    </row>
    <row r="508" spans="1:10">
      <c r="A508" s="41" t="s">
        <v>876</v>
      </c>
      <c r="B508" s="44" t="s">
        <v>571</v>
      </c>
      <c r="C508" s="164">
        <v>89</v>
      </c>
      <c r="D508" s="111" t="s">
        <v>749</v>
      </c>
      <c r="E508" s="123">
        <v>0</v>
      </c>
      <c r="F508" s="109" t="s">
        <v>825</v>
      </c>
      <c r="G508" s="42">
        <v>3</v>
      </c>
      <c r="H508" s="151">
        <f t="shared" si="32"/>
        <v>764</v>
      </c>
      <c r="I508" s="107" t="s">
        <v>324</v>
      </c>
      <c r="J508" s="50"/>
    </row>
    <row r="509" spans="1:10">
      <c r="A509" s="41" t="s">
        <v>876</v>
      </c>
      <c r="B509" s="44" t="s">
        <v>571</v>
      </c>
      <c r="C509" s="164">
        <v>90</v>
      </c>
      <c r="D509" s="111" t="s">
        <v>536</v>
      </c>
      <c r="E509" s="123">
        <v>0</v>
      </c>
      <c r="F509" s="109" t="s">
        <v>825</v>
      </c>
      <c r="G509" s="42">
        <v>1</v>
      </c>
      <c r="H509" s="151">
        <f t="shared" si="32"/>
        <v>765</v>
      </c>
      <c r="I509" s="107" t="s">
        <v>313</v>
      </c>
      <c r="J509" s="50"/>
    </row>
    <row r="510" spans="1:10">
      <c r="A510" s="41" t="s">
        <v>876</v>
      </c>
      <c r="B510" s="44" t="s">
        <v>571</v>
      </c>
      <c r="C510" s="135">
        <v>91</v>
      </c>
      <c r="D510" s="111" t="s">
        <v>531</v>
      </c>
      <c r="E510" s="123">
        <v>0</v>
      </c>
      <c r="F510" s="109" t="s">
        <v>825</v>
      </c>
      <c r="G510" s="42">
        <v>1</v>
      </c>
      <c r="H510" s="151">
        <f t="shared" si="32"/>
        <v>766</v>
      </c>
      <c r="I510" s="107" t="s">
        <v>238</v>
      </c>
      <c r="J510" s="50"/>
    </row>
    <row r="511" spans="1:10">
      <c r="A511" s="41" t="s">
        <v>876</v>
      </c>
      <c r="B511" s="44" t="s">
        <v>571</v>
      </c>
      <c r="C511" s="164">
        <v>92</v>
      </c>
      <c r="D511" s="111" t="s">
        <v>527</v>
      </c>
      <c r="E511" s="123">
        <v>0</v>
      </c>
      <c r="F511" s="109" t="s">
        <v>825</v>
      </c>
      <c r="G511" s="42">
        <v>1</v>
      </c>
      <c r="H511" s="151">
        <f t="shared" si="32"/>
        <v>767</v>
      </c>
      <c r="I511" s="107" t="s">
        <v>761</v>
      </c>
      <c r="J511" s="50"/>
    </row>
    <row r="512" spans="1:10" ht="45">
      <c r="A512" s="279" t="s">
        <v>876</v>
      </c>
      <c r="B512" s="280" t="s">
        <v>571</v>
      </c>
      <c r="C512" s="281">
        <v>93</v>
      </c>
      <c r="D512" s="282" t="s">
        <v>1197</v>
      </c>
      <c r="E512" s="283">
        <v>0</v>
      </c>
      <c r="F512" s="284" t="s">
        <v>825</v>
      </c>
      <c r="G512" s="285">
        <v>2</v>
      </c>
      <c r="H512" s="286">
        <f t="shared" si="32"/>
        <v>769</v>
      </c>
      <c r="I512" s="287" t="s">
        <v>1198</v>
      </c>
      <c r="J512" s="50"/>
    </row>
    <row r="513" spans="1:10">
      <c r="A513" s="279" t="s">
        <v>876</v>
      </c>
      <c r="B513" s="280" t="s">
        <v>571</v>
      </c>
      <c r="C513" s="288">
        <v>94</v>
      </c>
      <c r="D513" s="282" t="s">
        <v>881</v>
      </c>
      <c r="E513" s="283">
        <v>0</v>
      </c>
      <c r="F513" s="284" t="s">
        <v>825</v>
      </c>
      <c r="G513" s="285">
        <v>130</v>
      </c>
      <c r="H513" s="286">
        <f t="shared" si="32"/>
        <v>899</v>
      </c>
      <c r="I513" s="287" t="s">
        <v>1451</v>
      </c>
      <c r="J513" s="50"/>
    </row>
    <row r="514" spans="1:10">
      <c r="A514" s="41" t="s">
        <v>876</v>
      </c>
      <c r="B514" s="45" t="s">
        <v>571</v>
      </c>
      <c r="C514" s="146">
        <v>95</v>
      </c>
      <c r="D514" s="108" t="s">
        <v>39</v>
      </c>
      <c r="E514" s="38">
        <v>0</v>
      </c>
      <c r="F514" s="121" t="s">
        <v>825</v>
      </c>
      <c r="G514" s="125">
        <v>1</v>
      </c>
      <c r="H514" s="149">
        <f t="shared" si="32"/>
        <v>900</v>
      </c>
      <c r="I514" s="112" t="s">
        <v>544</v>
      </c>
      <c r="J514" s="114"/>
    </row>
    <row r="515" spans="1:10">
      <c r="A515" s="41" t="s">
        <v>851</v>
      </c>
      <c r="B515" s="44" t="s">
        <v>602</v>
      </c>
      <c r="C515" s="42">
        <v>1</v>
      </c>
      <c r="D515" s="111" t="s">
        <v>392</v>
      </c>
      <c r="E515" s="123">
        <v>0</v>
      </c>
      <c r="F515" s="120" t="s">
        <v>825</v>
      </c>
      <c r="G515" s="40">
        <v>2</v>
      </c>
      <c r="H515" s="40">
        <v>2</v>
      </c>
      <c r="I515" s="111" t="s">
        <v>123</v>
      </c>
      <c r="J515" s="40"/>
    </row>
    <row r="516" spans="1:10">
      <c r="A516" s="41" t="s">
        <v>851</v>
      </c>
      <c r="B516" s="48" t="s">
        <v>602</v>
      </c>
      <c r="C516" s="25">
        <v>2</v>
      </c>
      <c r="D516" s="113" t="s">
        <v>706</v>
      </c>
      <c r="E516" s="52">
        <v>0</v>
      </c>
      <c r="F516" s="160" t="s">
        <v>825</v>
      </c>
      <c r="G516" s="49">
        <v>3</v>
      </c>
      <c r="H516" s="21">
        <f t="shared" ref="H516:H538" si="33">H515+G516</f>
        <v>5</v>
      </c>
      <c r="I516" s="107" t="s">
        <v>969</v>
      </c>
      <c r="J516" s="50"/>
    </row>
    <row r="517" spans="1:10">
      <c r="A517" s="41" t="s">
        <v>851</v>
      </c>
      <c r="B517" s="48" t="s">
        <v>602</v>
      </c>
      <c r="C517" s="164">
        <v>3</v>
      </c>
      <c r="D517" s="113" t="s">
        <v>837</v>
      </c>
      <c r="E517" s="52">
        <v>0</v>
      </c>
      <c r="F517" s="109" t="s">
        <v>825</v>
      </c>
      <c r="G517" s="49">
        <v>12</v>
      </c>
      <c r="H517" s="21">
        <f t="shared" si="33"/>
        <v>17</v>
      </c>
      <c r="I517" s="107" t="s">
        <v>1446</v>
      </c>
      <c r="J517" s="50"/>
    </row>
    <row r="518" spans="1:10" ht="22.5">
      <c r="A518" s="41" t="s">
        <v>851</v>
      </c>
      <c r="B518" s="48" t="s">
        <v>602</v>
      </c>
      <c r="C518" s="135">
        <v>4</v>
      </c>
      <c r="D518" s="113" t="s">
        <v>540</v>
      </c>
      <c r="E518" s="52">
        <v>0</v>
      </c>
      <c r="F518" s="122" t="s">
        <v>806</v>
      </c>
      <c r="G518" s="49">
        <v>8</v>
      </c>
      <c r="H518" s="21">
        <f t="shared" si="33"/>
        <v>25</v>
      </c>
      <c r="I518" s="107" t="s">
        <v>251</v>
      </c>
      <c r="J518" s="50"/>
    </row>
    <row r="519" spans="1:10">
      <c r="A519" s="41" t="s">
        <v>851</v>
      </c>
      <c r="B519" s="48" t="s">
        <v>602</v>
      </c>
      <c r="C519" s="164">
        <v>5</v>
      </c>
      <c r="D519" s="113" t="s">
        <v>368</v>
      </c>
      <c r="E519" s="52">
        <v>0</v>
      </c>
      <c r="F519" s="109" t="s">
        <v>825</v>
      </c>
      <c r="G519" s="49">
        <v>1</v>
      </c>
      <c r="H519" s="21">
        <f t="shared" si="33"/>
        <v>26</v>
      </c>
      <c r="I519" s="107" t="s">
        <v>160</v>
      </c>
      <c r="J519" s="50"/>
    </row>
    <row r="520" spans="1:10">
      <c r="A520" s="41" t="s">
        <v>851</v>
      </c>
      <c r="B520" s="48" t="s">
        <v>602</v>
      </c>
      <c r="C520" s="135">
        <v>6</v>
      </c>
      <c r="D520" s="113" t="s">
        <v>433</v>
      </c>
      <c r="E520" s="52">
        <v>0</v>
      </c>
      <c r="F520" s="109" t="s">
        <v>825</v>
      </c>
      <c r="G520" s="49">
        <v>6</v>
      </c>
      <c r="H520" s="21">
        <f t="shared" si="33"/>
        <v>32</v>
      </c>
      <c r="I520" s="107" t="s">
        <v>170</v>
      </c>
      <c r="J520" s="50"/>
    </row>
    <row r="521" spans="1:10" ht="22.5">
      <c r="A521" s="41" t="s">
        <v>851</v>
      </c>
      <c r="B521" s="48" t="s">
        <v>602</v>
      </c>
      <c r="C521" s="164">
        <v>7</v>
      </c>
      <c r="D521" s="113" t="s">
        <v>754</v>
      </c>
      <c r="E521" s="52">
        <v>0</v>
      </c>
      <c r="F521" s="109" t="s">
        <v>825</v>
      </c>
      <c r="G521" s="49">
        <v>6</v>
      </c>
      <c r="H521" s="21">
        <f t="shared" si="33"/>
        <v>38</v>
      </c>
      <c r="I521" s="107" t="s">
        <v>16</v>
      </c>
      <c r="J521" s="50"/>
    </row>
    <row r="522" spans="1:10" ht="22.5">
      <c r="A522" s="41" t="s">
        <v>851</v>
      </c>
      <c r="B522" s="48" t="s">
        <v>602</v>
      </c>
      <c r="C522" s="135">
        <v>8</v>
      </c>
      <c r="D522" s="113" t="s">
        <v>759</v>
      </c>
      <c r="E522" s="52">
        <v>0</v>
      </c>
      <c r="F522" s="109" t="s">
        <v>825</v>
      </c>
      <c r="G522" s="49">
        <v>9</v>
      </c>
      <c r="H522" s="21">
        <f t="shared" si="33"/>
        <v>47</v>
      </c>
      <c r="I522" s="107" t="s">
        <v>243</v>
      </c>
      <c r="J522" s="50"/>
    </row>
    <row r="523" spans="1:10">
      <c r="A523" s="41" t="s">
        <v>851</v>
      </c>
      <c r="B523" s="48" t="s">
        <v>602</v>
      </c>
      <c r="C523" s="164">
        <v>9</v>
      </c>
      <c r="D523" s="113" t="s">
        <v>673</v>
      </c>
      <c r="E523" s="52">
        <v>0</v>
      </c>
      <c r="F523" s="109" t="s">
        <v>825</v>
      </c>
      <c r="G523" s="49">
        <v>1</v>
      </c>
      <c r="H523" s="21">
        <f t="shared" si="33"/>
        <v>48</v>
      </c>
      <c r="I523" s="107" t="s">
        <v>674</v>
      </c>
      <c r="J523" s="50"/>
    </row>
    <row r="524" spans="1:10" ht="22.5">
      <c r="A524" s="41" t="s">
        <v>851</v>
      </c>
      <c r="B524" s="48" t="s">
        <v>602</v>
      </c>
      <c r="C524" s="135">
        <v>10</v>
      </c>
      <c r="D524" s="113" t="s">
        <v>812</v>
      </c>
      <c r="E524" s="52">
        <v>0</v>
      </c>
      <c r="F524" s="122" t="s">
        <v>806</v>
      </c>
      <c r="G524" s="49">
        <v>9</v>
      </c>
      <c r="H524" s="21">
        <f t="shared" si="33"/>
        <v>57</v>
      </c>
      <c r="I524" s="107" t="s">
        <v>292</v>
      </c>
      <c r="J524" s="50"/>
    </row>
    <row r="525" spans="1:10" ht="33.75">
      <c r="A525" s="41" t="s">
        <v>851</v>
      </c>
      <c r="B525" s="48" t="s">
        <v>602</v>
      </c>
      <c r="C525" s="164">
        <v>11</v>
      </c>
      <c r="D525" s="113" t="s">
        <v>623</v>
      </c>
      <c r="E525" s="52">
        <v>0</v>
      </c>
      <c r="F525" s="122" t="s">
        <v>806</v>
      </c>
      <c r="G525" s="49">
        <v>10</v>
      </c>
      <c r="H525" s="21">
        <f t="shared" si="33"/>
        <v>67</v>
      </c>
      <c r="I525" s="107" t="s">
        <v>441</v>
      </c>
      <c r="J525" s="50"/>
    </row>
    <row r="526" spans="1:10">
      <c r="A526" s="41" t="s">
        <v>851</v>
      </c>
      <c r="B526" s="48" t="s">
        <v>602</v>
      </c>
      <c r="C526" s="135">
        <v>12</v>
      </c>
      <c r="D526" s="113" t="s">
        <v>519</v>
      </c>
      <c r="E526" s="52">
        <v>0</v>
      </c>
      <c r="F526" s="109" t="s">
        <v>825</v>
      </c>
      <c r="G526" s="49">
        <v>6</v>
      </c>
      <c r="H526" s="21">
        <f t="shared" si="33"/>
        <v>73</v>
      </c>
      <c r="I526" s="107" t="s">
        <v>144</v>
      </c>
      <c r="J526" s="50"/>
    </row>
    <row r="527" spans="1:10">
      <c r="A527" s="41" t="s">
        <v>851</v>
      </c>
      <c r="B527" s="48" t="s">
        <v>602</v>
      </c>
      <c r="C527" s="164">
        <v>13</v>
      </c>
      <c r="D527" s="113" t="s">
        <v>462</v>
      </c>
      <c r="E527" s="52">
        <v>0</v>
      </c>
      <c r="F527" s="122" t="s">
        <v>806</v>
      </c>
      <c r="G527" s="49">
        <v>10</v>
      </c>
      <c r="H527" s="21">
        <f t="shared" si="33"/>
        <v>83</v>
      </c>
      <c r="I527" s="107" t="s">
        <v>144</v>
      </c>
      <c r="J527" s="50"/>
    </row>
    <row r="528" spans="1:10">
      <c r="A528" s="41" t="s">
        <v>851</v>
      </c>
      <c r="B528" s="48" t="s">
        <v>602</v>
      </c>
      <c r="C528" s="135">
        <v>14</v>
      </c>
      <c r="D528" s="113" t="s">
        <v>265</v>
      </c>
      <c r="E528" s="52">
        <v>0</v>
      </c>
      <c r="F528" s="122" t="s">
        <v>806</v>
      </c>
      <c r="G528" s="49">
        <v>10</v>
      </c>
      <c r="H528" s="21">
        <f t="shared" si="33"/>
        <v>93</v>
      </c>
      <c r="I528" s="107" t="s">
        <v>144</v>
      </c>
      <c r="J528" s="50"/>
    </row>
    <row r="529" spans="1:10">
      <c r="A529" s="41" t="s">
        <v>851</v>
      </c>
      <c r="B529" s="48" t="s">
        <v>602</v>
      </c>
      <c r="C529" s="164">
        <v>15</v>
      </c>
      <c r="D529" s="113" t="s">
        <v>437</v>
      </c>
      <c r="E529" s="52">
        <v>0</v>
      </c>
      <c r="F529" s="122" t="s">
        <v>806</v>
      </c>
      <c r="G529" s="49">
        <v>9</v>
      </c>
      <c r="H529" s="21">
        <f t="shared" si="33"/>
        <v>102</v>
      </c>
      <c r="I529" s="107"/>
      <c r="J529" s="50"/>
    </row>
    <row r="530" spans="1:10">
      <c r="A530" s="41" t="s">
        <v>851</v>
      </c>
      <c r="B530" s="48" t="s">
        <v>602</v>
      </c>
      <c r="C530" s="135">
        <v>16</v>
      </c>
      <c r="D530" s="113" t="s">
        <v>177</v>
      </c>
      <c r="E530" s="52">
        <v>0</v>
      </c>
      <c r="F530" s="122" t="s">
        <v>806</v>
      </c>
      <c r="G530" s="49">
        <v>10</v>
      </c>
      <c r="H530" s="21">
        <f t="shared" si="33"/>
        <v>112</v>
      </c>
      <c r="I530" s="107" t="s">
        <v>144</v>
      </c>
      <c r="J530" s="50"/>
    </row>
    <row r="531" spans="1:10">
      <c r="A531" s="41" t="s">
        <v>851</v>
      </c>
      <c r="B531" s="48" t="s">
        <v>602</v>
      </c>
      <c r="C531" s="164">
        <v>17</v>
      </c>
      <c r="D531" s="113" t="s">
        <v>684</v>
      </c>
      <c r="E531" s="52">
        <v>0</v>
      </c>
      <c r="F531" s="122" t="s">
        <v>806</v>
      </c>
      <c r="G531" s="49">
        <v>9</v>
      </c>
      <c r="H531" s="21">
        <f t="shared" si="33"/>
        <v>121</v>
      </c>
      <c r="I531" s="107"/>
      <c r="J531" s="50"/>
    </row>
    <row r="532" spans="1:10">
      <c r="A532" s="41" t="s">
        <v>851</v>
      </c>
      <c r="B532" s="48" t="s">
        <v>602</v>
      </c>
      <c r="C532" s="135">
        <v>18</v>
      </c>
      <c r="D532" s="113" t="s">
        <v>152</v>
      </c>
      <c r="E532" s="52">
        <v>0</v>
      </c>
      <c r="F532" s="122" t="s">
        <v>806</v>
      </c>
      <c r="G532" s="49">
        <v>10</v>
      </c>
      <c r="H532" s="21">
        <f t="shared" si="33"/>
        <v>131</v>
      </c>
      <c r="I532" s="107" t="s">
        <v>144</v>
      </c>
      <c r="J532" s="50"/>
    </row>
    <row r="533" spans="1:10" ht="22.5">
      <c r="A533" s="41" t="s">
        <v>851</v>
      </c>
      <c r="B533" s="48" t="s">
        <v>602</v>
      </c>
      <c r="C533" s="164">
        <v>19</v>
      </c>
      <c r="D533" s="113" t="s">
        <v>239</v>
      </c>
      <c r="E533" s="52">
        <v>0</v>
      </c>
      <c r="F533" s="122" t="s">
        <v>806</v>
      </c>
      <c r="G533" s="49">
        <v>10</v>
      </c>
      <c r="H533" s="21">
        <f t="shared" si="33"/>
        <v>141</v>
      </c>
      <c r="I533" s="107" t="s">
        <v>14</v>
      </c>
      <c r="J533" s="50"/>
    </row>
    <row r="534" spans="1:10" ht="22.5">
      <c r="A534" s="41" t="s">
        <v>851</v>
      </c>
      <c r="B534" s="48" t="s">
        <v>602</v>
      </c>
      <c r="C534" s="135">
        <v>20</v>
      </c>
      <c r="D534" s="113" t="s">
        <v>294</v>
      </c>
      <c r="E534" s="52">
        <v>0</v>
      </c>
      <c r="F534" s="122" t="s">
        <v>806</v>
      </c>
      <c r="G534" s="49">
        <v>10</v>
      </c>
      <c r="H534" s="21">
        <f t="shared" si="33"/>
        <v>151</v>
      </c>
      <c r="I534" s="107" t="s">
        <v>193</v>
      </c>
      <c r="J534" s="50"/>
    </row>
    <row r="535" spans="1:10">
      <c r="A535" s="41" t="s">
        <v>851</v>
      </c>
      <c r="B535" s="48" t="s">
        <v>602</v>
      </c>
      <c r="C535" s="164">
        <v>21</v>
      </c>
      <c r="D535" s="113" t="s">
        <v>693</v>
      </c>
      <c r="E535" s="52">
        <v>0</v>
      </c>
      <c r="F535" s="122" t="s">
        <v>806</v>
      </c>
      <c r="G535" s="49">
        <v>3</v>
      </c>
      <c r="H535" s="21">
        <f t="shared" si="33"/>
        <v>154</v>
      </c>
      <c r="I535" s="107" t="s">
        <v>316</v>
      </c>
      <c r="J535" s="50"/>
    </row>
    <row r="536" spans="1:10">
      <c r="A536" s="41" t="s">
        <v>851</v>
      </c>
      <c r="B536" s="48" t="s">
        <v>602</v>
      </c>
      <c r="C536" s="135">
        <v>22</v>
      </c>
      <c r="D536" s="113" t="s">
        <v>642</v>
      </c>
      <c r="E536" s="52">
        <v>0</v>
      </c>
      <c r="F536" s="109" t="s">
        <v>825</v>
      </c>
      <c r="G536" s="49">
        <v>12</v>
      </c>
      <c r="H536" s="21">
        <f t="shared" si="33"/>
        <v>166</v>
      </c>
      <c r="I536" s="107" t="s">
        <v>787</v>
      </c>
      <c r="J536" s="50"/>
    </row>
    <row r="537" spans="1:10">
      <c r="A537" s="41" t="s">
        <v>851</v>
      </c>
      <c r="B537" s="48" t="s">
        <v>602</v>
      </c>
      <c r="C537" s="164">
        <v>23</v>
      </c>
      <c r="D537" s="179" t="s">
        <v>881</v>
      </c>
      <c r="E537" s="52">
        <v>0</v>
      </c>
      <c r="F537" s="109" t="s">
        <v>825</v>
      </c>
      <c r="G537" s="49">
        <v>33</v>
      </c>
      <c r="H537" s="21">
        <f t="shared" si="33"/>
        <v>199</v>
      </c>
      <c r="I537" s="107" t="s">
        <v>787</v>
      </c>
      <c r="J537" s="50"/>
    </row>
    <row r="538" spans="1:10">
      <c r="A538" s="41" t="s">
        <v>851</v>
      </c>
      <c r="B538" s="45" t="s">
        <v>602</v>
      </c>
      <c r="C538" s="146">
        <v>24</v>
      </c>
      <c r="D538" s="108" t="s">
        <v>39</v>
      </c>
      <c r="E538" s="51">
        <v>0</v>
      </c>
      <c r="F538" s="121" t="s">
        <v>825</v>
      </c>
      <c r="G538" s="114">
        <v>1</v>
      </c>
      <c r="H538" s="114">
        <f t="shared" si="33"/>
        <v>200</v>
      </c>
      <c r="I538" s="112" t="s">
        <v>544</v>
      </c>
      <c r="J538" s="114"/>
    </row>
    <row r="539" spans="1:10">
      <c r="A539" s="41" t="s">
        <v>846</v>
      </c>
      <c r="B539" s="44" t="s">
        <v>521</v>
      </c>
      <c r="C539" s="42">
        <v>1</v>
      </c>
      <c r="D539" s="111" t="s">
        <v>392</v>
      </c>
      <c r="E539" s="123">
        <v>0</v>
      </c>
      <c r="F539" s="120" t="s">
        <v>825</v>
      </c>
      <c r="G539" s="40">
        <v>2</v>
      </c>
      <c r="H539" s="40">
        <v>2</v>
      </c>
      <c r="I539" s="111" t="s">
        <v>148</v>
      </c>
      <c r="J539" s="40"/>
    </row>
    <row r="540" spans="1:10">
      <c r="A540" s="41" t="s">
        <v>846</v>
      </c>
      <c r="B540" s="48" t="s">
        <v>521</v>
      </c>
      <c r="C540" s="25">
        <v>2</v>
      </c>
      <c r="D540" s="113" t="s">
        <v>706</v>
      </c>
      <c r="E540" s="52">
        <v>0</v>
      </c>
      <c r="F540" s="160" t="s">
        <v>825</v>
      </c>
      <c r="G540" s="49">
        <v>3</v>
      </c>
      <c r="H540" s="21">
        <f t="shared" ref="H540:H565" si="34">H539+G540</f>
        <v>5</v>
      </c>
      <c r="I540" s="107" t="s">
        <v>969</v>
      </c>
      <c r="J540" s="50"/>
    </row>
    <row r="541" spans="1:10">
      <c r="A541" s="41" t="s">
        <v>846</v>
      </c>
      <c r="B541" s="48" t="s">
        <v>521</v>
      </c>
      <c r="C541" s="164">
        <v>3</v>
      </c>
      <c r="D541" s="113" t="s">
        <v>837</v>
      </c>
      <c r="E541" s="52">
        <v>0</v>
      </c>
      <c r="F541" s="109" t="s">
        <v>825</v>
      </c>
      <c r="G541" s="49">
        <v>12</v>
      </c>
      <c r="H541" s="21">
        <f t="shared" si="34"/>
        <v>17</v>
      </c>
      <c r="I541" s="107" t="s">
        <v>1444</v>
      </c>
      <c r="J541" s="50"/>
    </row>
    <row r="542" spans="1:10" ht="22.5">
      <c r="A542" s="41" t="s">
        <v>846</v>
      </c>
      <c r="B542" s="48" t="s">
        <v>521</v>
      </c>
      <c r="C542" s="135">
        <v>4</v>
      </c>
      <c r="D542" s="113" t="s">
        <v>540</v>
      </c>
      <c r="E542" s="52">
        <v>0</v>
      </c>
      <c r="F542" s="122" t="s">
        <v>806</v>
      </c>
      <c r="G542" s="49">
        <v>8</v>
      </c>
      <c r="H542" s="21">
        <f t="shared" si="34"/>
        <v>25</v>
      </c>
      <c r="I542" s="107" t="s">
        <v>251</v>
      </c>
      <c r="J542" s="50"/>
    </row>
    <row r="543" spans="1:10">
      <c r="A543" s="41" t="s">
        <v>846</v>
      </c>
      <c r="B543" s="48" t="s">
        <v>521</v>
      </c>
      <c r="C543" s="164">
        <v>5</v>
      </c>
      <c r="D543" s="113" t="s">
        <v>435</v>
      </c>
      <c r="E543" s="52">
        <v>0</v>
      </c>
      <c r="F543" s="122" t="s">
        <v>806</v>
      </c>
      <c r="G543" s="49">
        <v>6</v>
      </c>
      <c r="H543" s="21">
        <f t="shared" si="34"/>
        <v>31</v>
      </c>
      <c r="I543" s="107" t="s">
        <v>278</v>
      </c>
      <c r="J543" s="50"/>
    </row>
    <row r="544" spans="1:10">
      <c r="A544" s="41" t="s">
        <v>846</v>
      </c>
      <c r="B544" s="48" t="s">
        <v>521</v>
      </c>
      <c r="C544" s="135">
        <v>6</v>
      </c>
      <c r="D544" s="113" t="s">
        <v>428</v>
      </c>
      <c r="E544" s="52">
        <v>0</v>
      </c>
      <c r="F544" s="122" t="s">
        <v>806</v>
      </c>
      <c r="G544" s="49">
        <v>9</v>
      </c>
      <c r="H544" s="21">
        <f t="shared" si="34"/>
        <v>40</v>
      </c>
      <c r="I544" s="107"/>
      <c r="J544" s="50"/>
    </row>
    <row r="545" spans="1:10">
      <c r="A545" s="41" t="s">
        <v>846</v>
      </c>
      <c r="B545" s="48" t="s">
        <v>521</v>
      </c>
      <c r="C545" s="164">
        <v>7</v>
      </c>
      <c r="D545" s="113" t="s">
        <v>418</v>
      </c>
      <c r="E545" s="52">
        <v>0</v>
      </c>
      <c r="F545" s="122" t="s">
        <v>806</v>
      </c>
      <c r="G545" s="49">
        <v>10</v>
      </c>
      <c r="H545" s="21">
        <f t="shared" si="34"/>
        <v>50</v>
      </c>
      <c r="I545" s="107" t="s">
        <v>285</v>
      </c>
      <c r="J545" s="50"/>
    </row>
    <row r="546" spans="1:10">
      <c r="A546" s="41" t="s">
        <v>846</v>
      </c>
      <c r="B546" s="48" t="s">
        <v>521</v>
      </c>
      <c r="C546" s="135">
        <v>8</v>
      </c>
      <c r="D546" s="113" t="s">
        <v>438</v>
      </c>
      <c r="E546" s="52">
        <v>0</v>
      </c>
      <c r="F546" s="109" t="s">
        <v>825</v>
      </c>
      <c r="G546" s="49">
        <v>6</v>
      </c>
      <c r="H546" s="21">
        <f t="shared" si="34"/>
        <v>56</v>
      </c>
      <c r="I546" s="107" t="s">
        <v>144</v>
      </c>
      <c r="J546" s="50"/>
    </row>
    <row r="547" spans="1:10">
      <c r="A547" s="41" t="s">
        <v>846</v>
      </c>
      <c r="B547" s="48" t="s">
        <v>521</v>
      </c>
      <c r="C547" s="164">
        <v>9</v>
      </c>
      <c r="D547" s="113" t="s">
        <v>529</v>
      </c>
      <c r="E547" s="52">
        <v>0</v>
      </c>
      <c r="F547" s="122" t="s">
        <v>806</v>
      </c>
      <c r="G547" s="49">
        <v>6</v>
      </c>
      <c r="H547" s="21">
        <f t="shared" si="34"/>
        <v>62</v>
      </c>
      <c r="I547" s="107" t="s">
        <v>697</v>
      </c>
      <c r="J547" s="50"/>
    </row>
    <row r="548" spans="1:10">
      <c r="A548" s="41" t="s">
        <v>846</v>
      </c>
      <c r="B548" s="48" t="s">
        <v>521</v>
      </c>
      <c r="C548" s="135">
        <v>10</v>
      </c>
      <c r="D548" s="113" t="s">
        <v>522</v>
      </c>
      <c r="E548" s="52">
        <v>0</v>
      </c>
      <c r="F548" s="122" t="s">
        <v>806</v>
      </c>
      <c r="G548" s="49">
        <v>6</v>
      </c>
      <c r="H548" s="21">
        <f t="shared" si="34"/>
        <v>68</v>
      </c>
      <c r="I548" s="107" t="s">
        <v>697</v>
      </c>
      <c r="J548" s="50"/>
    </row>
    <row r="549" spans="1:10">
      <c r="A549" s="41" t="s">
        <v>846</v>
      </c>
      <c r="B549" s="48" t="s">
        <v>521</v>
      </c>
      <c r="C549" s="164">
        <v>11</v>
      </c>
      <c r="D549" s="113" t="s">
        <v>667</v>
      </c>
      <c r="E549" s="52">
        <v>0</v>
      </c>
      <c r="F549" s="122" t="s">
        <v>806</v>
      </c>
      <c r="G549" s="49">
        <v>9</v>
      </c>
      <c r="H549" s="21">
        <f t="shared" si="34"/>
        <v>77</v>
      </c>
      <c r="I549" s="107"/>
      <c r="J549" s="50"/>
    </row>
    <row r="550" spans="1:10">
      <c r="A550" s="41" t="s">
        <v>846</v>
      </c>
      <c r="B550" s="48" t="s">
        <v>521</v>
      </c>
      <c r="C550" s="135">
        <v>12</v>
      </c>
      <c r="D550" s="113" t="s">
        <v>669</v>
      </c>
      <c r="E550" s="52">
        <v>0</v>
      </c>
      <c r="F550" s="122" t="s">
        <v>806</v>
      </c>
      <c r="G550" s="49">
        <v>9</v>
      </c>
      <c r="H550" s="21">
        <f t="shared" si="34"/>
        <v>86</v>
      </c>
      <c r="I550" s="107"/>
      <c r="J550" s="50"/>
    </row>
    <row r="551" spans="1:10">
      <c r="A551" s="41" t="s">
        <v>846</v>
      </c>
      <c r="B551" s="48" t="s">
        <v>521</v>
      </c>
      <c r="C551" s="164">
        <v>13</v>
      </c>
      <c r="D551" s="113" t="s">
        <v>266</v>
      </c>
      <c r="E551" s="52">
        <v>0</v>
      </c>
      <c r="F551" s="122" t="s">
        <v>806</v>
      </c>
      <c r="G551" s="49">
        <v>9</v>
      </c>
      <c r="H551" s="21">
        <f t="shared" si="34"/>
        <v>95</v>
      </c>
      <c r="I551" s="107"/>
      <c r="J551" s="50"/>
    </row>
    <row r="552" spans="1:10">
      <c r="A552" s="41" t="s">
        <v>846</v>
      </c>
      <c r="B552" s="48" t="s">
        <v>521</v>
      </c>
      <c r="C552" s="135">
        <v>14</v>
      </c>
      <c r="D552" s="113" t="s">
        <v>328</v>
      </c>
      <c r="E552" s="52">
        <v>0</v>
      </c>
      <c r="F552" s="122" t="s">
        <v>806</v>
      </c>
      <c r="G552" s="49">
        <v>12</v>
      </c>
      <c r="H552" s="21">
        <f t="shared" si="34"/>
        <v>107</v>
      </c>
      <c r="I552" s="107"/>
      <c r="J552" s="50"/>
    </row>
    <row r="553" spans="1:10">
      <c r="A553" s="41" t="s">
        <v>846</v>
      </c>
      <c r="B553" s="48" t="s">
        <v>521</v>
      </c>
      <c r="C553" s="164">
        <v>15</v>
      </c>
      <c r="D553" s="113" t="s">
        <v>276</v>
      </c>
      <c r="E553" s="52">
        <v>0</v>
      </c>
      <c r="F553" s="122" t="s">
        <v>806</v>
      </c>
      <c r="G553" s="49">
        <v>14</v>
      </c>
      <c r="H553" s="21">
        <f t="shared" si="34"/>
        <v>121</v>
      </c>
      <c r="I553" s="107" t="s">
        <v>144</v>
      </c>
      <c r="J553" s="50"/>
    </row>
    <row r="554" spans="1:10">
      <c r="A554" s="41" t="s">
        <v>846</v>
      </c>
      <c r="B554" s="48" t="s">
        <v>521</v>
      </c>
      <c r="C554" s="135">
        <v>16</v>
      </c>
      <c r="D554" s="113" t="s">
        <v>462</v>
      </c>
      <c r="E554" s="52">
        <v>0</v>
      </c>
      <c r="F554" s="122" t="s">
        <v>806</v>
      </c>
      <c r="G554" s="49">
        <v>10</v>
      </c>
      <c r="H554" s="21">
        <f t="shared" si="34"/>
        <v>131</v>
      </c>
      <c r="I554" s="107" t="s">
        <v>144</v>
      </c>
      <c r="J554" s="50"/>
    </row>
    <row r="555" spans="1:10">
      <c r="A555" s="41" t="s">
        <v>846</v>
      </c>
      <c r="B555" s="48" t="s">
        <v>521</v>
      </c>
      <c r="C555" s="164">
        <v>17</v>
      </c>
      <c r="D555" s="113" t="s">
        <v>265</v>
      </c>
      <c r="E555" s="52">
        <v>0</v>
      </c>
      <c r="F555" s="122" t="s">
        <v>806</v>
      </c>
      <c r="G555" s="49">
        <v>10</v>
      </c>
      <c r="H555" s="21">
        <f t="shared" si="34"/>
        <v>141</v>
      </c>
      <c r="I555" s="107" t="s">
        <v>144</v>
      </c>
      <c r="J555" s="50"/>
    </row>
    <row r="556" spans="1:10">
      <c r="A556" s="41" t="s">
        <v>846</v>
      </c>
      <c r="B556" s="48" t="s">
        <v>521</v>
      </c>
      <c r="C556" s="135">
        <v>18</v>
      </c>
      <c r="D556" s="113" t="s">
        <v>676</v>
      </c>
      <c r="E556" s="52">
        <v>0</v>
      </c>
      <c r="F556" s="122" t="s">
        <v>806</v>
      </c>
      <c r="G556" s="49">
        <v>9</v>
      </c>
      <c r="H556" s="21">
        <f t="shared" si="34"/>
        <v>150</v>
      </c>
      <c r="I556" s="107"/>
      <c r="J556" s="50"/>
    </row>
    <row r="557" spans="1:10">
      <c r="A557" s="41" t="s">
        <v>846</v>
      </c>
      <c r="B557" s="48" t="s">
        <v>521</v>
      </c>
      <c r="C557" s="164">
        <v>19</v>
      </c>
      <c r="D557" s="113" t="s">
        <v>186</v>
      </c>
      <c r="E557" s="52">
        <v>0</v>
      </c>
      <c r="F557" s="122" t="s">
        <v>806</v>
      </c>
      <c r="G557" s="49">
        <v>10</v>
      </c>
      <c r="H557" s="21">
        <f t="shared" si="34"/>
        <v>160</v>
      </c>
      <c r="I557" s="107" t="s">
        <v>144</v>
      </c>
      <c r="J557" s="50"/>
    </row>
    <row r="558" spans="1:10">
      <c r="A558" s="41" t="s">
        <v>846</v>
      </c>
      <c r="B558" s="48" t="s">
        <v>521</v>
      </c>
      <c r="C558" s="135">
        <v>20</v>
      </c>
      <c r="D558" s="113" t="s">
        <v>434</v>
      </c>
      <c r="E558" s="52">
        <v>0</v>
      </c>
      <c r="F558" s="122" t="s">
        <v>806</v>
      </c>
      <c r="G558" s="49">
        <v>9</v>
      </c>
      <c r="H558" s="21">
        <f t="shared" si="34"/>
        <v>169</v>
      </c>
      <c r="I558" s="107"/>
      <c r="J558" s="50"/>
    </row>
    <row r="559" spans="1:10">
      <c r="A559" s="41" t="s">
        <v>846</v>
      </c>
      <c r="B559" s="48" t="s">
        <v>521</v>
      </c>
      <c r="C559" s="164">
        <v>21</v>
      </c>
      <c r="D559" s="113" t="s">
        <v>178</v>
      </c>
      <c r="E559" s="52">
        <v>0</v>
      </c>
      <c r="F559" s="122" t="s">
        <v>806</v>
      </c>
      <c r="G559" s="49">
        <v>10</v>
      </c>
      <c r="H559" s="21">
        <f t="shared" si="34"/>
        <v>179</v>
      </c>
      <c r="I559" s="107" t="s">
        <v>144</v>
      </c>
      <c r="J559" s="50"/>
    </row>
    <row r="560" spans="1:10">
      <c r="A560" s="41" t="s">
        <v>846</v>
      </c>
      <c r="B560" s="48" t="s">
        <v>521</v>
      </c>
      <c r="C560" s="135">
        <v>22</v>
      </c>
      <c r="D560" s="113" t="s">
        <v>267</v>
      </c>
      <c r="E560" s="52">
        <v>0</v>
      </c>
      <c r="F560" s="109" t="s">
        <v>825</v>
      </c>
      <c r="G560" s="49">
        <v>1</v>
      </c>
      <c r="H560" s="21">
        <f t="shared" si="34"/>
        <v>180</v>
      </c>
      <c r="I560" s="124" t="s">
        <v>1452</v>
      </c>
      <c r="J560" s="50"/>
    </row>
    <row r="561" spans="1:10">
      <c r="A561" s="41" t="s">
        <v>846</v>
      </c>
      <c r="B561" s="48" t="s">
        <v>521</v>
      </c>
      <c r="C561" s="164">
        <v>23</v>
      </c>
      <c r="D561" s="113" t="s">
        <v>694</v>
      </c>
      <c r="E561" s="52">
        <v>0</v>
      </c>
      <c r="F561" s="109" t="s">
        <v>825</v>
      </c>
      <c r="G561" s="49">
        <v>9</v>
      </c>
      <c r="H561" s="21">
        <f t="shared" si="34"/>
        <v>189</v>
      </c>
      <c r="I561" s="107"/>
      <c r="J561" s="50"/>
    </row>
    <row r="562" spans="1:10" ht="22.5">
      <c r="A562" s="41" t="s">
        <v>846</v>
      </c>
      <c r="B562" s="48" t="s">
        <v>521</v>
      </c>
      <c r="C562" s="135">
        <v>24</v>
      </c>
      <c r="D562" s="113" t="s">
        <v>212</v>
      </c>
      <c r="E562" s="52">
        <v>0</v>
      </c>
      <c r="F562" s="122" t="s">
        <v>806</v>
      </c>
      <c r="G562" s="49">
        <v>10</v>
      </c>
      <c r="H562" s="21">
        <f t="shared" si="34"/>
        <v>199</v>
      </c>
      <c r="I562" s="107" t="s">
        <v>144</v>
      </c>
      <c r="J562" s="50"/>
    </row>
    <row r="563" spans="1:10" ht="22.5">
      <c r="A563" s="41" t="s">
        <v>846</v>
      </c>
      <c r="B563" s="48" t="s">
        <v>521</v>
      </c>
      <c r="C563" s="164">
        <v>25</v>
      </c>
      <c r="D563" s="113" t="s">
        <v>213</v>
      </c>
      <c r="E563" s="52">
        <v>0</v>
      </c>
      <c r="F563" s="122" t="s">
        <v>806</v>
      </c>
      <c r="G563" s="49">
        <v>10</v>
      </c>
      <c r="H563" s="21">
        <f t="shared" si="34"/>
        <v>209</v>
      </c>
      <c r="I563" s="107" t="s">
        <v>144</v>
      </c>
      <c r="J563" s="50"/>
    </row>
    <row r="564" spans="1:10">
      <c r="A564" s="41" t="s">
        <v>846</v>
      </c>
      <c r="B564" s="48" t="s">
        <v>521</v>
      </c>
      <c r="C564" s="135">
        <v>26</v>
      </c>
      <c r="D564" s="113" t="s">
        <v>881</v>
      </c>
      <c r="E564" s="52">
        <v>0</v>
      </c>
      <c r="F564" s="109" t="s">
        <v>825</v>
      </c>
      <c r="G564" s="49">
        <v>40</v>
      </c>
      <c r="H564" s="21">
        <f t="shared" si="34"/>
        <v>249</v>
      </c>
      <c r="I564" s="107"/>
      <c r="J564" s="50"/>
    </row>
    <row r="565" spans="1:10">
      <c r="A565" s="41" t="s">
        <v>846</v>
      </c>
      <c r="B565" s="45" t="s">
        <v>521</v>
      </c>
      <c r="C565" s="165">
        <v>27</v>
      </c>
      <c r="D565" s="108" t="s">
        <v>39</v>
      </c>
      <c r="E565" s="51">
        <v>0</v>
      </c>
      <c r="F565" s="121" t="s">
        <v>825</v>
      </c>
      <c r="G565" s="114">
        <v>1</v>
      </c>
      <c r="H565" s="114">
        <f t="shared" si="34"/>
        <v>250</v>
      </c>
      <c r="I565" s="112" t="s">
        <v>544</v>
      </c>
      <c r="J565" s="114"/>
    </row>
    <row r="566" spans="1:10">
      <c r="A566" s="41" t="s">
        <v>838</v>
      </c>
      <c r="B566" s="44" t="s">
        <v>557</v>
      </c>
      <c r="C566" s="42">
        <v>1</v>
      </c>
      <c r="D566" s="111" t="s">
        <v>402</v>
      </c>
      <c r="E566" s="123">
        <v>0</v>
      </c>
      <c r="F566" s="120" t="s">
        <v>825</v>
      </c>
      <c r="G566" s="40">
        <v>2</v>
      </c>
      <c r="H566" s="40">
        <v>2</v>
      </c>
      <c r="I566" s="111" t="s">
        <v>30</v>
      </c>
      <c r="J566" s="40"/>
    </row>
    <row r="567" spans="1:10">
      <c r="A567" s="41" t="s">
        <v>838</v>
      </c>
      <c r="B567" s="48" t="s">
        <v>557</v>
      </c>
      <c r="C567" s="25">
        <v>2</v>
      </c>
      <c r="D567" s="113" t="s">
        <v>706</v>
      </c>
      <c r="E567" s="52">
        <v>0</v>
      </c>
      <c r="F567" s="160" t="s">
        <v>825</v>
      </c>
      <c r="G567" s="49">
        <v>3</v>
      </c>
      <c r="H567" s="21">
        <f t="shared" ref="H567:H573" si="35">H566+G567</f>
        <v>5</v>
      </c>
      <c r="I567" s="107" t="s">
        <v>969</v>
      </c>
      <c r="J567" s="50"/>
    </row>
    <row r="568" spans="1:10">
      <c r="A568" s="41" t="s">
        <v>838</v>
      </c>
      <c r="B568" s="48" t="s">
        <v>557</v>
      </c>
      <c r="C568" s="164">
        <v>3</v>
      </c>
      <c r="D568" s="113" t="s">
        <v>837</v>
      </c>
      <c r="E568" s="52">
        <v>0</v>
      </c>
      <c r="F568" s="109" t="s">
        <v>825</v>
      </c>
      <c r="G568" s="49">
        <v>12</v>
      </c>
      <c r="H568" s="21">
        <f t="shared" si="35"/>
        <v>17</v>
      </c>
      <c r="I568" s="107" t="s">
        <v>1444</v>
      </c>
      <c r="J568" s="50"/>
    </row>
    <row r="569" spans="1:10">
      <c r="A569" s="41" t="s">
        <v>838</v>
      </c>
      <c r="B569" s="48" t="s">
        <v>557</v>
      </c>
      <c r="C569" s="135">
        <v>4</v>
      </c>
      <c r="D569" s="113" t="s">
        <v>540</v>
      </c>
      <c r="E569" s="52">
        <v>0</v>
      </c>
      <c r="F569" s="122" t="s">
        <v>806</v>
      </c>
      <c r="G569" s="49">
        <v>8</v>
      </c>
      <c r="H569" s="21">
        <f t="shared" si="35"/>
        <v>25</v>
      </c>
      <c r="I569" s="107" t="s">
        <v>303</v>
      </c>
      <c r="J569" s="50"/>
    </row>
    <row r="570" spans="1:10">
      <c r="A570" s="41" t="s">
        <v>838</v>
      </c>
      <c r="B570" s="48" t="s">
        <v>557</v>
      </c>
      <c r="C570" s="164">
        <v>5</v>
      </c>
      <c r="D570" s="113" t="s">
        <v>414</v>
      </c>
      <c r="E570" s="52">
        <v>0</v>
      </c>
      <c r="F570" s="122" t="s">
        <v>806</v>
      </c>
      <c r="G570" s="49">
        <v>9</v>
      </c>
      <c r="H570" s="21">
        <f t="shared" si="35"/>
        <v>34</v>
      </c>
      <c r="I570" s="107"/>
      <c r="J570" s="50"/>
    </row>
    <row r="571" spans="1:10">
      <c r="A571" s="41" t="s">
        <v>838</v>
      </c>
      <c r="B571" s="48" t="s">
        <v>557</v>
      </c>
      <c r="C571" s="135">
        <v>6</v>
      </c>
      <c r="D571" s="113" t="s">
        <v>531</v>
      </c>
      <c r="E571" s="52">
        <v>0</v>
      </c>
      <c r="F571" s="109" t="s">
        <v>825</v>
      </c>
      <c r="G571" s="49">
        <v>1</v>
      </c>
      <c r="H571" s="21">
        <f t="shared" si="35"/>
        <v>35</v>
      </c>
      <c r="I571" s="107" t="s">
        <v>240</v>
      </c>
      <c r="J571" s="50"/>
    </row>
    <row r="572" spans="1:10">
      <c r="A572" s="41" t="s">
        <v>838</v>
      </c>
      <c r="B572" s="48" t="s">
        <v>557</v>
      </c>
      <c r="C572" s="164">
        <v>7</v>
      </c>
      <c r="D572" s="113" t="s">
        <v>881</v>
      </c>
      <c r="E572" s="52">
        <v>0</v>
      </c>
      <c r="F572" s="109" t="s">
        <v>825</v>
      </c>
      <c r="G572" s="49">
        <v>4</v>
      </c>
      <c r="H572" s="21">
        <f t="shared" si="35"/>
        <v>39</v>
      </c>
      <c r="I572" s="107" t="s">
        <v>787</v>
      </c>
      <c r="J572" s="50"/>
    </row>
    <row r="573" spans="1:10">
      <c r="A573" s="41" t="s">
        <v>838</v>
      </c>
      <c r="B573" s="45" t="s">
        <v>557</v>
      </c>
      <c r="C573" s="146">
        <v>8</v>
      </c>
      <c r="D573" s="108" t="s">
        <v>39</v>
      </c>
      <c r="E573" s="51">
        <v>0</v>
      </c>
      <c r="F573" s="121" t="s">
        <v>825</v>
      </c>
      <c r="G573" s="114">
        <v>1</v>
      </c>
      <c r="H573" s="114">
        <f t="shared" si="35"/>
        <v>40</v>
      </c>
      <c r="I573" s="112" t="s">
        <v>544</v>
      </c>
      <c r="J573" s="114"/>
    </row>
    <row r="574" spans="1:10">
      <c r="A574" s="41" t="s">
        <v>844</v>
      </c>
      <c r="B574" s="44" t="s">
        <v>734</v>
      </c>
      <c r="C574" s="42">
        <v>1</v>
      </c>
      <c r="D574" s="111" t="s">
        <v>392</v>
      </c>
      <c r="E574" s="123">
        <v>0</v>
      </c>
      <c r="F574" s="120" t="s">
        <v>825</v>
      </c>
      <c r="G574" s="40">
        <v>2</v>
      </c>
      <c r="H574" s="40">
        <v>2</v>
      </c>
      <c r="I574" s="111" t="s">
        <v>23</v>
      </c>
      <c r="J574" s="40"/>
    </row>
    <row r="575" spans="1:10">
      <c r="A575" s="41" t="s">
        <v>844</v>
      </c>
      <c r="B575" s="48" t="s">
        <v>734</v>
      </c>
      <c r="C575" s="25">
        <v>2</v>
      </c>
      <c r="D575" s="113" t="s">
        <v>706</v>
      </c>
      <c r="E575" s="52">
        <v>0</v>
      </c>
      <c r="F575" s="160" t="s">
        <v>825</v>
      </c>
      <c r="G575" s="49">
        <v>3</v>
      </c>
      <c r="H575" s="21">
        <f t="shared" ref="H575:H581" si="36">H574+G575</f>
        <v>5</v>
      </c>
      <c r="I575" s="107" t="s">
        <v>969</v>
      </c>
      <c r="J575" s="50"/>
    </row>
    <row r="576" spans="1:10">
      <c r="A576" s="41" t="s">
        <v>844</v>
      </c>
      <c r="B576" s="48" t="s">
        <v>734</v>
      </c>
      <c r="C576" s="164">
        <v>3</v>
      </c>
      <c r="D576" s="113" t="s">
        <v>837</v>
      </c>
      <c r="E576" s="52">
        <v>0</v>
      </c>
      <c r="F576" s="109" t="s">
        <v>825</v>
      </c>
      <c r="G576" s="49">
        <v>12</v>
      </c>
      <c r="H576" s="21">
        <f t="shared" si="36"/>
        <v>17</v>
      </c>
      <c r="I576" s="107" t="s">
        <v>1444</v>
      </c>
      <c r="J576" s="50"/>
    </row>
    <row r="577" spans="1:10">
      <c r="A577" s="41" t="s">
        <v>844</v>
      </c>
      <c r="B577" s="48" t="s">
        <v>734</v>
      </c>
      <c r="C577" s="135">
        <v>4</v>
      </c>
      <c r="D577" s="113" t="s">
        <v>540</v>
      </c>
      <c r="E577" s="52">
        <v>0</v>
      </c>
      <c r="F577" s="122" t="s">
        <v>806</v>
      </c>
      <c r="G577" s="49">
        <v>8</v>
      </c>
      <c r="H577" s="21">
        <f t="shared" si="36"/>
        <v>25</v>
      </c>
      <c r="I577" s="107" t="s">
        <v>303</v>
      </c>
      <c r="J577" s="50"/>
    </row>
    <row r="578" spans="1:10">
      <c r="A578" s="41" t="s">
        <v>844</v>
      </c>
      <c r="B578" s="48" t="s">
        <v>734</v>
      </c>
      <c r="C578" s="164">
        <v>5</v>
      </c>
      <c r="D578" s="113" t="s">
        <v>820</v>
      </c>
      <c r="E578" s="52">
        <v>0</v>
      </c>
      <c r="F578" s="109" t="s">
        <v>825</v>
      </c>
      <c r="G578" s="49">
        <v>1</v>
      </c>
      <c r="H578" s="21">
        <f t="shared" si="36"/>
        <v>26</v>
      </c>
      <c r="I578" s="107" t="s">
        <v>237</v>
      </c>
      <c r="J578" s="50"/>
    </row>
    <row r="579" spans="1:10">
      <c r="A579" s="41" t="s">
        <v>844</v>
      </c>
      <c r="B579" s="48" t="s">
        <v>734</v>
      </c>
      <c r="C579" s="135">
        <v>6</v>
      </c>
      <c r="D579" s="113" t="s">
        <v>831</v>
      </c>
      <c r="E579" s="52">
        <v>0</v>
      </c>
      <c r="F579" s="109" t="s">
        <v>825</v>
      </c>
      <c r="G579" s="49">
        <v>2</v>
      </c>
      <c r="H579" s="21">
        <f t="shared" si="36"/>
        <v>28</v>
      </c>
      <c r="I579" s="107"/>
      <c r="J579" s="50"/>
    </row>
    <row r="580" spans="1:10">
      <c r="A580" s="41" t="s">
        <v>844</v>
      </c>
      <c r="B580" s="48" t="s">
        <v>734</v>
      </c>
      <c r="C580" s="164">
        <v>7</v>
      </c>
      <c r="D580" s="113" t="s">
        <v>881</v>
      </c>
      <c r="E580" s="52">
        <v>0</v>
      </c>
      <c r="F580" s="109" t="s">
        <v>825</v>
      </c>
      <c r="G580" s="49">
        <v>1</v>
      </c>
      <c r="H580" s="21">
        <f t="shared" si="36"/>
        <v>29</v>
      </c>
      <c r="I580" s="107" t="s">
        <v>787</v>
      </c>
      <c r="J580" s="50"/>
    </row>
    <row r="581" spans="1:10">
      <c r="A581" s="41" t="s">
        <v>844</v>
      </c>
      <c r="B581" s="45" t="s">
        <v>734</v>
      </c>
      <c r="C581" s="146">
        <v>8</v>
      </c>
      <c r="D581" s="108" t="s">
        <v>39</v>
      </c>
      <c r="E581" s="51">
        <v>0</v>
      </c>
      <c r="F581" s="121" t="s">
        <v>825</v>
      </c>
      <c r="G581" s="114">
        <v>1</v>
      </c>
      <c r="H581" s="114">
        <f t="shared" si="36"/>
        <v>30</v>
      </c>
      <c r="I581" s="112" t="s">
        <v>544</v>
      </c>
      <c r="J581" s="114"/>
    </row>
    <row r="582" spans="1:10">
      <c r="A582" s="41" t="s">
        <v>852</v>
      </c>
      <c r="B582" s="44" t="s">
        <v>541</v>
      </c>
      <c r="C582" s="42">
        <v>1</v>
      </c>
      <c r="D582" s="111" t="s">
        <v>930</v>
      </c>
      <c r="E582" s="123">
        <v>0</v>
      </c>
      <c r="F582" s="120" t="s">
        <v>825</v>
      </c>
      <c r="G582" s="40">
        <v>2</v>
      </c>
      <c r="H582" s="40">
        <v>2</v>
      </c>
      <c r="I582" s="111" t="s">
        <v>128</v>
      </c>
      <c r="J582" s="40"/>
    </row>
    <row r="583" spans="1:10">
      <c r="A583" s="41" t="s">
        <v>852</v>
      </c>
      <c r="B583" s="48" t="s">
        <v>541</v>
      </c>
      <c r="C583" s="25">
        <v>2</v>
      </c>
      <c r="D583" s="113" t="s">
        <v>929</v>
      </c>
      <c r="E583" s="52">
        <v>0</v>
      </c>
      <c r="F583" s="160" t="s">
        <v>825</v>
      </c>
      <c r="G583" s="49">
        <v>3</v>
      </c>
      <c r="H583" s="21">
        <f t="shared" ref="H583:H595" si="37">H582+G583</f>
        <v>5</v>
      </c>
      <c r="I583" s="107" t="s">
        <v>969</v>
      </c>
      <c r="J583" s="50"/>
    </row>
    <row r="584" spans="1:10" ht="22.5">
      <c r="A584" s="41" t="s">
        <v>852</v>
      </c>
      <c r="B584" s="48" t="s">
        <v>541</v>
      </c>
      <c r="C584" s="164">
        <v>3</v>
      </c>
      <c r="D584" s="113" t="s">
        <v>943</v>
      </c>
      <c r="E584" s="52">
        <v>0</v>
      </c>
      <c r="F584" s="109" t="s">
        <v>825</v>
      </c>
      <c r="G584" s="49">
        <v>12</v>
      </c>
      <c r="H584" s="21">
        <f t="shared" si="37"/>
        <v>17</v>
      </c>
      <c r="I584" s="107" t="s">
        <v>1453</v>
      </c>
      <c r="J584" s="50"/>
    </row>
    <row r="585" spans="1:10" ht="22.5">
      <c r="A585" s="41" t="s">
        <v>852</v>
      </c>
      <c r="B585" s="48" t="s">
        <v>541</v>
      </c>
      <c r="C585" s="135">
        <v>4</v>
      </c>
      <c r="D585" s="113" t="s">
        <v>621</v>
      </c>
      <c r="E585" s="52">
        <v>0</v>
      </c>
      <c r="F585" s="109" t="s">
        <v>825</v>
      </c>
      <c r="G585" s="49">
        <v>2</v>
      </c>
      <c r="H585" s="21">
        <f t="shared" si="37"/>
        <v>19</v>
      </c>
      <c r="I585" s="107" t="s">
        <v>246</v>
      </c>
      <c r="J585" s="50"/>
    </row>
    <row r="586" spans="1:10">
      <c r="A586" s="41" t="s">
        <v>852</v>
      </c>
      <c r="B586" s="48" t="s">
        <v>541</v>
      </c>
      <c r="C586" s="164">
        <v>5</v>
      </c>
      <c r="D586" s="113" t="s">
        <v>931</v>
      </c>
      <c r="E586" s="52">
        <v>0</v>
      </c>
      <c r="F586" s="109" t="s">
        <v>825</v>
      </c>
      <c r="G586" s="49">
        <v>8</v>
      </c>
      <c r="H586" s="21">
        <f t="shared" si="37"/>
        <v>27</v>
      </c>
      <c r="I586" s="107" t="s">
        <v>252</v>
      </c>
      <c r="J586" s="50"/>
    </row>
    <row r="587" spans="1:10">
      <c r="A587" s="41" t="s">
        <v>852</v>
      </c>
      <c r="B587" s="48" t="s">
        <v>541</v>
      </c>
      <c r="C587" s="135">
        <v>6</v>
      </c>
      <c r="D587" s="113" t="s">
        <v>932</v>
      </c>
      <c r="E587" s="52">
        <v>0</v>
      </c>
      <c r="F587" s="109" t="s">
        <v>825</v>
      </c>
      <c r="G587" s="49">
        <v>8</v>
      </c>
      <c r="H587" s="21">
        <f t="shared" si="37"/>
        <v>35</v>
      </c>
      <c r="I587" s="107" t="s">
        <v>255</v>
      </c>
      <c r="J587" s="50"/>
    </row>
    <row r="588" spans="1:10">
      <c r="A588" s="41" t="s">
        <v>852</v>
      </c>
      <c r="B588" s="48" t="s">
        <v>541</v>
      </c>
      <c r="C588" s="164">
        <v>7</v>
      </c>
      <c r="D588" s="113" t="s">
        <v>933</v>
      </c>
      <c r="E588" s="52">
        <v>0</v>
      </c>
      <c r="F588" s="122" t="s">
        <v>806</v>
      </c>
      <c r="G588" s="49">
        <v>9</v>
      </c>
      <c r="H588" s="21">
        <f t="shared" si="37"/>
        <v>44</v>
      </c>
      <c r="I588" s="107" t="s">
        <v>253</v>
      </c>
      <c r="J588" s="50"/>
    </row>
    <row r="589" spans="1:10">
      <c r="A589" s="41" t="s">
        <v>852</v>
      </c>
      <c r="B589" s="48" t="s">
        <v>541</v>
      </c>
      <c r="C589" s="135">
        <v>8</v>
      </c>
      <c r="D589" s="113" t="s">
        <v>934</v>
      </c>
      <c r="E589" s="52">
        <v>0</v>
      </c>
      <c r="F589" s="122" t="s">
        <v>806</v>
      </c>
      <c r="G589" s="49">
        <v>9</v>
      </c>
      <c r="H589" s="21">
        <f t="shared" si="37"/>
        <v>53</v>
      </c>
      <c r="I589" s="107" t="s">
        <v>253</v>
      </c>
      <c r="J589" s="50"/>
    </row>
    <row r="590" spans="1:10">
      <c r="A590" s="41" t="s">
        <v>852</v>
      </c>
      <c r="B590" s="48" t="s">
        <v>541</v>
      </c>
      <c r="C590" s="164">
        <v>9</v>
      </c>
      <c r="D590" s="113" t="s">
        <v>935</v>
      </c>
      <c r="E590" s="52">
        <v>0</v>
      </c>
      <c r="F590" s="122" t="s">
        <v>806</v>
      </c>
      <c r="G590" s="49">
        <v>9</v>
      </c>
      <c r="H590" s="21">
        <f t="shared" si="37"/>
        <v>62</v>
      </c>
      <c r="I590" s="107" t="s">
        <v>253</v>
      </c>
      <c r="J590" s="50"/>
    </row>
    <row r="591" spans="1:10">
      <c r="A591" s="41" t="s">
        <v>852</v>
      </c>
      <c r="B591" s="48" t="s">
        <v>541</v>
      </c>
      <c r="C591" s="135">
        <v>10</v>
      </c>
      <c r="D591" s="113" t="s">
        <v>936</v>
      </c>
      <c r="E591" s="52">
        <v>0</v>
      </c>
      <c r="F591" s="122" t="s">
        <v>806</v>
      </c>
      <c r="G591" s="49">
        <v>9</v>
      </c>
      <c r="H591" s="21">
        <f t="shared" si="37"/>
        <v>71</v>
      </c>
      <c r="I591" s="107" t="s">
        <v>253</v>
      </c>
      <c r="J591" s="50"/>
    </row>
    <row r="592" spans="1:10">
      <c r="A592" s="41" t="s">
        <v>852</v>
      </c>
      <c r="B592" s="48" t="s">
        <v>541</v>
      </c>
      <c r="C592" s="164">
        <v>11</v>
      </c>
      <c r="D592" s="113" t="s">
        <v>937</v>
      </c>
      <c r="E592" s="52">
        <v>0</v>
      </c>
      <c r="F592" s="122" t="s">
        <v>806</v>
      </c>
      <c r="G592" s="49">
        <v>9</v>
      </c>
      <c r="H592" s="21">
        <f t="shared" si="37"/>
        <v>80</v>
      </c>
      <c r="I592" s="107" t="s">
        <v>253</v>
      </c>
      <c r="J592" s="50"/>
    </row>
    <row r="593" spans="1:10">
      <c r="A593" s="41" t="s">
        <v>852</v>
      </c>
      <c r="B593" s="48" t="s">
        <v>541</v>
      </c>
      <c r="C593" s="135">
        <v>12</v>
      </c>
      <c r="D593" s="113" t="s">
        <v>938</v>
      </c>
      <c r="E593" s="52">
        <v>0</v>
      </c>
      <c r="F593" s="122" t="s">
        <v>806</v>
      </c>
      <c r="G593" s="49">
        <v>9</v>
      </c>
      <c r="H593" s="21">
        <f t="shared" si="37"/>
        <v>89</v>
      </c>
      <c r="I593" s="107" t="s">
        <v>253</v>
      </c>
      <c r="J593" s="50"/>
    </row>
    <row r="594" spans="1:10">
      <c r="A594" s="41" t="s">
        <v>852</v>
      </c>
      <c r="B594" s="48" t="s">
        <v>541</v>
      </c>
      <c r="C594" s="164">
        <v>13</v>
      </c>
      <c r="D594" s="179" t="s">
        <v>881</v>
      </c>
      <c r="E594" s="52">
        <v>0</v>
      </c>
      <c r="F594" s="109" t="s">
        <v>825</v>
      </c>
      <c r="G594" s="49">
        <v>10</v>
      </c>
      <c r="H594" s="21">
        <f t="shared" si="37"/>
        <v>99</v>
      </c>
      <c r="I594" s="107" t="s">
        <v>787</v>
      </c>
      <c r="J594" s="50"/>
    </row>
    <row r="595" spans="1:10">
      <c r="A595" s="41" t="s">
        <v>852</v>
      </c>
      <c r="B595" s="45" t="s">
        <v>541</v>
      </c>
      <c r="C595" s="146">
        <v>14</v>
      </c>
      <c r="D595" s="108" t="s">
        <v>39</v>
      </c>
      <c r="E595" s="51">
        <v>0</v>
      </c>
      <c r="F595" s="121" t="s">
        <v>825</v>
      </c>
      <c r="G595" s="114">
        <v>1</v>
      </c>
      <c r="H595" s="114">
        <f t="shared" si="37"/>
        <v>100</v>
      </c>
      <c r="I595" s="112" t="s">
        <v>544</v>
      </c>
      <c r="J595" s="114"/>
    </row>
    <row r="596" spans="1:10">
      <c r="A596" s="41" t="s">
        <v>877</v>
      </c>
      <c r="B596" s="44" t="s">
        <v>1090</v>
      </c>
      <c r="C596" s="42">
        <v>1</v>
      </c>
      <c r="D596" s="111" t="s">
        <v>942</v>
      </c>
      <c r="E596" s="42">
        <v>0</v>
      </c>
      <c r="F596" s="162" t="s">
        <v>825</v>
      </c>
      <c r="G596" s="40">
        <v>2</v>
      </c>
      <c r="H596" s="40">
        <v>2</v>
      </c>
      <c r="I596" s="111" t="s">
        <v>1454</v>
      </c>
      <c r="J596" s="40"/>
    </row>
    <row r="597" spans="1:10">
      <c r="A597" s="41" t="s">
        <v>877</v>
      </c>
      <c r="B597" s="44" t="s">
        <v>1090</v>
      </c>
      <c r="C597" s="42">
        <v>2</v>
      </c>
      <c r="D597" s="111" t="s">
        <v>929</v>
      </c>
      <c r="E597" s="42">
        <v>0</v>
      </c>
      <c r="F597" s="160" t="s">
        <v>825</v>
      </c>
      <c r="G597" s="49">
        <v>3</v>
      </c>
      <c r="H597" s="21">
        <f t="shared" ref="H597:H614" si="38">H596+G597</f>
        <v>5</v>
      </c>
      <c r="I597" s="107" t="s">
        <v>969</v>
      </c>
      <c r="J597" s="50"/>
    </row>
    <row r="598" spans="1:10">
      <c r="A598" s="41" t="s">
        <v>877</v>
      </c>
      <c r="B598" s="44" t="s">
        <v>1090</v>
      </c>
      <c r="C598" s="42">
        <v>3</v>
      </c>
      <c r="D598" s="111" t="s">
        <v>943</v>
      </c>
      <c r="E598" s="42">
        <v>0</v>
      </c>
      <c r="F598" s="160" t="s">
        <v>825</v>
      </c>
      <c r="G598" s="49">
        <v>12</v>
      </c>
      <c r="H598" s="21">
        <f t="shared" si="38"/>
        <v>17</v>
      </c>
      <c r="I598" s="107" t="s">
        <v>1455</v>
      </c>
      <c r="J598" s="50"/>
    </row>
    <row r="599" spans="1:10">
      <c r="A599" s="41" t="s">
        <v>877</v>
      </c>
      <c r="B599" s="44" t="s">
        <v>1090</v>
      </c>
      <c r="C599" s="42">
        <v>4</v>
      </c>
      <c r="D599" s="111" t="s">
        <v>1058</v>
      </c>
      <c r="E599" s="42">
        <v>0</v>
      </c>
      <c r="F599" s="160" t="s">
        <v>825</v>
      </c>
      <c r="G599" s="21">
        <v>6</v>
      </c>
      <c r="H599" s="21">
        <f t="shared" si="38"/>
        <v>23</v>
      </c>
      <c r="I599" s="107" t="s">
        <v>1073</v>
      </c>
      <c r="J599" s="50"/>
    </row>
    <row r="600" spans="1:10">
      <c r="A600" s="41" t="s">
        <v>877</v>
      </c>
      <c r="B600" s="44" t="s">
        <v>1090</v>
      </c>
      <c r="C600" s="42">
        <v>5</v>
      </c>
      <c r="D600" s="111" t="s">
        <v>1059</v>
      </c>
      <c r="E600" s="42">
        <v>0</v>
      </c>
      <c r="F600" s="160" t="s">
        <v>825</v>
      </c>
      <c r="G600" s="21">
        <v>5</v>
      </c>
      <c r="H600" s="21">
        <f t="shared" si="38"/>
        <v>28</v>
      </c>
      <c r="I600" s="107" t="s">
        <v>144</v>
      </c>
      <c r="J600" s="50"/>
    </row>
    <row r="601" spans="1:10">
      <c r="A601" s="41" t="s">
        <v>877</v>
      </c>
      <c r="B601" s="44" t="s">
        <v>1090</v>
      </c>
      <c r="C601" s="42">
        <v>6</v>
      </c>
      <c r="D601" s="111" t="s">
        <v>1060</v>
      </c>
      <c r="E601" s="42">
        <v>0</v>
      </c>
      <c r="F601" s="160" t="s">
        <v>825</v>
      </c>
      <c r="G601" s="21">
        <v>5</v>
      </c>
      <c r="H601" s="21">
        <f t="shared" si="38"/>
        <v>33</v>
      </c>
      <c r="I601" s="107" t="s">
        <v>144</v>
      </c>
      <c r="J601" s="50"/>
    </row>
    <row r="602" spans="1:10">
      <c r="A602" s="41" t="s">
        <v>877</v>
      </c>
      <c r="B602" s="44" t="s">
        <v>1090</v>
      </c>
      <c r="C602" s="42">
        <v>7</v>
      </c>
      <c r="D602" s="111" t="s">
        <v>1061</v>
      </c>
      <c r="E602" s="42">
        <v>0</v>
      </c>
      <c r="F602" s="160" t="s">
        <v>825</v>
      </c>
      <c r="G602" s="21">
        <v>8</v>
      </c>
      <c r="H602" s="21">
        <f t="shared" si="38"/>
        <v>41</v>
      </c>
      <c r="I602" s="107" t="s">
        <v>1007</v>
      </c>
      <c r="J602" s="50"/>
    </row>
    <row r="603" spans="1:10">
      <c r="A603" s="41" t="s">
        <v>877</v>
      </c>
      <c r="B603" s="44" t="s">
        <v>1090</v>
      </c>
      <c r="C603" s="42">
        <v>8</v>
      </c>
      <c r="D603" s="111" t="s">
        <v>1062</v>
      </c>
      <c r="E603" s="42">
        <v>0</v>
      </c>
      <c r="F603" s="160" t="s">
        <v>825</v>
      </c>
      <c r="G603" s="21">
        <v>8</v>
      </c>
      <c r="H603" s="21">
        <f t="shared" si="38"/>
        <v>49</v>
      </c>
      <c r="I603" s="107" t="s">
        <v>1007</v>
      </c>
      <c r="J603" s="50"/>
    </row>
    <row r="604" spans="1:10">
      <c r="A604" s="41" t="s">
        <v>877</v>
      </c>
      <c r="B604" s="44" t="s">
        <v>1090</v>
      </c>
      <c r="C604" s="42">
        <v>9</v>
      </c>
      <c r="D604" s="111" t="s">
        <v>1063</v>
      </c>
      <c r="E604" s="42">
        <v>0</v>
      </c>
      <c r="F604" s="160" t="s">
        <v>825</v>
      </c>
      <c r="G604" s="21">
        <v>1</v>
      </c>
      <c r="H604" s="21">
        <f t="shared" si="38"/>
        <v>50</v>
      </c>
      <c r="I604" s="107" t="s">
        <v>1074</v>
      </c>
      <c r="J604" s="50"/>
    </row>
    <row r="605" spans="1:10">
      <c r="A605" s="41" t="s">
        <v>877</v>
      </c>
      <c r="B605" s="44" t="s">
        <v>1090</v>
      </c>
      <c r="C605" s="42">
        <v>10</v>
      </c>
      <c r="D605" s="111" t="s">
        <v>1064</v>
      </c>
      <c r="E605" s="42">
        <v>0</v>
      </c>
      <c r="F605" s="160" t="s">
        <v>825</v>
      </c>
      <c r="G605" s="21">
        <v>40</v>
      </c>
      <c r="H605" s="21">
        <f t="shared" si="38"/>
        <v>90</v>
      </c>
      <c r="I605" s="107" t="s">
        <v>144</v>
      </c>
      <c r="J605" s="50"/>
    </row>
    <row r="606" spans="1:10">
      <c r="A606" s="41" t="s">
        <v>877</v>
      </c>
      <c r="B606" s="44" t="s">
        <v>1090</v>
      </c>
      <c r="C606" s="42">
        <v>11</v>
      </c>
      <c r="D606" s="111" t="s">
        <v>1065</v>
      </c>
      <c r="E606" s="42">
        <v>0</v>
      </c>
      <c r="F606" s="160" t="s">
        <v>825</v>
      </c>
      <c r="G606" s="21">
        <v>1</v>
      </c>
      <c r="H606" s="21">
        <f t="shared" si="38"/>
        <v>91</v>
      </c>
      <c r="I606" s="107" t="s">
        <v>1075</v>
      </c>
      <c r="J606" s="50"/>
    </row>
    <row r="607" spans="1:10" ht="12">
      <c r="A607" s="41" t="s">
        <v>877</v>
      </c>
      <c r="B607" s="44" t="s">
        <v>1090</v>
      </c>
      <c r="C607" s="42">
        <v>12</v>
      </c>
      <c r="D607" s="111" t="s">
        <v>1066</v>
      </c>
      <c r="E607" s="42">
        <v>0</v>
      </c>
      <c r="F607" s="160" t="s">
        <v>825</v>
      </c>
      <c r="G607" s="21">
        <v>5</v>
      </c>
      <c r="H607" s="21">
        <f t="shared" si="38"/>
        <v>96</v>
      </c>
      <c r="I607" s="107" t="s">
        <v>1081</v>
      </c>
      <c r="J607" s="50"/>
    </row>
    <row r="608" spans="1:10">
      <c r="A608" s="41" t="s">
        <v>877</v>
      </c>
      <c r="B608" s="44" t="s">
        <v>1090</v>
      </c>
      <c r="C608" s="42">
        <v>13</v>
      </c>
      <c r="D608" s="111" t="s">
        <v>1067</v>
      </c>
      <c r="E608" s="42">
        <v>0</v>
      </c>
      <c r="F608" s="160" t="s">
        <v>825</v>
      </c>
      <c r="G608" s="21">
        <v>1</v>
      </c>
      <c r="H608" s="21">
        <f t="shared" si="38"/>
        <v>97</v>
      </c>
      <c r="I608" s="107" t="s">
        <v>1076</v>
      </c>
      <c r="J608" s="50"/>
    </row>
    <row r="609" spans="1:10">
      <c r="A609" s="41" t="s">
        <v>877</v>
      </c>
      <c r="B609" s="44" t="s">
        <v>1090</v>
      </c>
      <c r="C609" s="42">
        <v>14</v>
      </c>
      <c r="D609" s="111" t="s">
        <v>1068</v>
      </c>
      <c r="E609" s="42">
        <v>0</v>
      </c>
      <c r="F609" s="160" t="s">
        <v>825</v>
      </c>
      <c r="G609" s="21">
        <v>264</v>
      </c>
      <c r="H609" s="21">
        <f t="shared" si="38"/>
        <v>361</v>
      </c>
      <c r="I609" s="107" t="s">
        <v>1077</v>
      </c>
      <c r="J609" s="50"/>
    </row>
    <row r="610" spans="1:10">
      <c r="A610" s="41" t="s">
        <v>877</v>
      </c>
      <c r="B610" s="44" t="s">
        <v>1090</v>
      </c>
      <c r="C610" s="42">
        <v>15</v>
      </c>
      <c r="D610" s="111" t="s">
        <v>1069</v>
      </c>
      <c r="E610" s="42">
        <v>0</v>
      </c>
      <c r="F610" s="160" t="s">
        <v>825</v>
      </c>
      <c r="G610" s="21">
        <v>1000</v>
      </c>
      <c r="H610" s="21">
        <f t="shared" si="38"/>
        <v>1361</v>
      </c>
      <c r="I610" s="107" t="s">
        <v>1078</v>
      </c>
      <c r="J610" s="50"/>
    </row>
    <row r="611" spans="1:10">
      <c r="A611" s="41" t="s">
        <v>877</v>
      </c>
      <c r="B611" s="44" t="s">
        <v>1090</v>
      </c>
      <c r="C611" s="42">
        <v>16</v>
      </c>
      <c r="D611" s="111" t="s">
        <v>1070</v>
      </c>
      <c r="E611" s="42">
        <v>0</v>
      </c>
      <c r="F611" s="160" t="s">
        <v>825</v>
      </c>
      <c r="G611" s="21">
        <v>1</v>
      </c>
      <c r="H611" s="21">
        <f t="shared" si="38"/>
        <v>1362</v>
      </c>
      <c r="I611" s="107" t="s">
        <v>1079</v>
      </c>
      <c r="J611" s="50"/>
    </row>
    <row r="612" spans="1:10">
      <c r="A612" s="41" t="s">
        <v>877</v>
      </c>
      <c r="B612" s="44" t="s">
        <v>1090</v>
      </c>
      <c r="C612" s="42">
        <v>17</v>
      </c>
      <c r="D612" s="111" t="s">
        <v>1071</v>
      </c>
      <c r="E612" s="42">
        <v>0</v>
      </c>
      <c r="F612" s="160" t="s">
        <v>825</v>
      </c>
      <c r="G612" s="21">
        <v>1</v>
      </c>
      <c r="H612" s="21">
        <f t="shared" si="38"/>
        <v>1363</v>
      </c>
      <c r="I612" s="107" t="s">
        <v>1079</v>
      </c>
      <c r="J612" s="50"/>
    </row>
    <row r="613" spans="1:10">
      <c r="A613" s="41" t="s">
        <v>877</v>
      </c>
      <c r="B613" s="44" t="s">
        <v>1090</v>
      </c>
      <c r="C613" s="42">
        <v>18</v>
      </c>
      <c r="D613" s="111" t="s">
        <v>1072</v>
      </c>
      <c r="E613" s="42">
        <v>0</v>
      </c>
      <c r="F613" s="160" t="s">
        <v>825</v>
      </c>
      <c r="G613" s="21">
        <v>2</v>
      </c>
      <c r="H613" s="21">
        <f t="shared" si="38"/>
        <v>1365</v>
      </c>
      <c r="I613" s="107" t="s">
        <v>1080</v>
      </c>
      <c r="J613" s="50"/>
    </row>
    <row r="614" spans="1:10">
      <c r="A614" s="41" t="s">
        <v>877</v>
      </c>
      <c r="B614" s="108" t="s">
        <v>1090</v>
      </c>
      <c r="C614" s="165">
        <v>19</v>
      </c>
      <c r="D614" s="108" t="s">
        <v>39</v>
      </c>
      <c r="E614" s="39">
        <v>0</v>
      </c>
      <c r="F614" s="161" t="s">
        <v>825</v>
      </c>
      <c r="G614" s="114">
        <v>1</v>
      </c>
      <c r="H614" s="149">
        <f t="shared" si="38"/>
        <v>1366</v>
      </c>
      <c r="I614" s="108" t="s">
        <v>1091</v>
      </c>
      <c r="J614" s="114"/>
    </row>
    <row r="615" spans="1:10">
      <c r="A615" s="41" t="s">
        <v>1088</v>
      </c>
      <c r="B615" s="44" t="s">
        <v>1089</v>
      </c>
      <c r="C615" s="42">
        <v>1</v>
      </c>
      <c r="D615" s="111" t="s">
        <v>942</v>
      </c>
      <c r="E615" s="42">
        <v>0</v>
      </c>
      <c r="F615" s="162" t="s">
        <v>825</v>
      </c>
      <c r="G615" s="40">
        <v>2</v>
      </c>
      <c r="H615" s="40">
        <v>2</v>
      </c>
      <c r="I615" s="111" t="s">
        <v>1454</v>
      </c>
      <c r="J615" s="40"/>
    </row>
    <row r="616" spans="1:10">
      <c r="A616" s="41" t="s">
        <v>1088</v>
      </c>
      <c r="B616" s="44" t="s">
        <v>1089</v>
      </c>
      <c r="C616" s="42">
        <v>2</v>
      </c>
      <c r="D616" s="111" t="s">
        <v>929</v>
      </c>
      <c r="E616" s="42">
        <v>0</v>
      </c>
      <c r="F616" s="160" t="s">
        <v>825</v>
      </c>
      <c r="G616" s="49">
        <v>3</v>
      </c>
      <c r="H616" s="21">
        <f t="shared" ref="H616:H633" si="39">H615+G616</f>
        <v>5</v>
      </c>
      <c r="I616" s="107" t="s">
        <v>969</v>
      </c>
      <c r="J616" s="50"/>
    </row>
    <row r="617" spans="1:10">
      <c r="A617" s="41" t="s">
        <v>1088</v>
      </c>
      <c r="B617" s="44" t="s">
        <v>1089</v>
      </c>
      <c r="C617" s="42">
        <v>3</v>
      </c>
      <c r="D617" s="111" t="s">
        <v>943</v>
      </c>
      <c r="E617" s="42">
        <v>0</v>
      </c>
      <c r="F617" s="160" t="s">
        <v>825</v>
      </c>
      <c r="G617" s="49">
        <v>12</v>
      </c>
      <c r="H617" s="21">
        <f t="shared" si="39"/>
        <v>17</v>
      </c>
      <c r="I617" s="107" t="s">
        <v>1455</v>
      </c>
      <c r="J617" s="50"/>
    </row>
    <row r="618" spans="1:10">
      <c r="A618" s="41" t="s">
        <v>1088</v>
      </c>
      <c r="B618" s="44" t="s">
        <v>1089</v>
      </c>
      <c r="C618" s="42">
        <v>4</v>
      </c>
      <c r="D618" s="111" t="s">
        <v>1058</v>
      </c>
      <c r="E618" s="42">
        <v>0</v>
      </c>
      <c r="F618" s="160" t="s">
        <v>825</v>
      </c>
      <c r="G618" s="21">
        <v>6</v>
      </c>
      <c r="H618" s="21">
        <f t="shared" si="39"/>
        <v>23</v>
      </c>
      <c r="I618" s="107" t="s">
        <v>1073</v>
      </c>
      <c r="J618" s="50"/>
    </row>
    <row r="619" spans="1:10">
      <c r="A619" s="41" t="s">
        <v>1088</v>
      </c>
      <c r="B619" s="44" t="s">
        <v>1089</v>
      </c>
      <c r="C619" s="42">
        <v>5</v>
      </c>
      <c r="D619" s="111" t="s">
        <v>1059</v>
      </c>
      <c r="E619" s="42">
        <v>0</v>
      </c>
      <c r="F619" s="160" t="s">
        <v>825</v>
      </c>
      <c r="G619" s="21">
        <v>5</v>
      </c>
      <c r="H619" s="21">
        <f t="shared" si="39"/>
        <v>28</v>
      </c>
      <c r="I619" s="107" t="s">
        <v>144</v>
      </c>
      <c r="J619" s="50"/>
    </row>
    <row r="620" spans="1:10">
      <c r="A620" s="41" t="s">
        <v>1088</v>
      </c>
      <c r="B620" s="44" t="s">
        <v>1089</v>
      </c>
      <c r="C620" s="42">
        <v>6</v>
      </c>
      <c r="D620" s="111" t="s">
        <v>1060</v>
      </c>
      <c r="E620" s="42">
        <v>0</v>
      </c>
      <c r="F620" s="160" t="s">
        <v>825</v>
      </c>
      <c r="G620" s="21">
        <v>5</v>
      </c>
      <c r="H620" s="21">
        <f t="shared" si="39"/>
        <v>33</v>
      </c>
      <c r="I620" s="107" t="s">
        <v>144</v>
      </c>
      <c r="J620" s="50"/>
    </row>
    <row r="621" spans="1:10">
      <c r="A621" s="41" t="s">
        <v>1088</v>
      </c>
      <c r="B621" s="44" t="s">
        <v>1089</v>
      </c>
      <c r="C621" s="42">
        <v>7</v>
      </c>
      <c r="D621" s="111" t="s">
        <v>1061</v>
      </c>
      <c r="E621" s="42">
        <v>0</v>
      </c>
      <c r="F621" s="160" t="s">
        <v>825</v>
      </c>
      <c r="G621" s="21">
        <v>8</v>
      </c>
      <c r="H621" s="21">
        <f t="shared" si="39"/>
        <v>41</v>
      </c>
      <c r="I621" s="107" t="s">
        <v>1007</v>
      </c>
      <c r="J621" s="50"/>
    </row>
    <row r="622" spans="1:10">
      <c r="A622" s="41" t="s">
        <v>1088</v>
      </c>
      <c r="B622" s="44" t="s">
        <v>1089</v>
      </c>
      <c r="C622" s="42">
        <v>8</v>
      </c>
      <c r="D622" s="111" t="s">
        <v>1062</v>
      </c>
      <c r="E622" s="42">
        <v>0</v>
      </c>
      <c r="F622" s="160" t="s">
        <v>825</v>
      </c>
      <c r="G622" s="21">
        <v>8</v>
      </c>
      <c r="H622" s="21">
        <f t="shared" si="39"/>
        <v>49</v>
      </c>
      <c r="I622" s="107" t="s">
        <v>1007</v>
      </c>
      <c r="J622" s="50"/>
    </row>
    <row r="623" spans="1:10">
      <c r="A623" s="41" t="s">
        <v>1088</v>
      </c>
      <c r="B623" s="44" t="s">
        <v>1089</v>
      </c>
      <c r="C623" s="42">
        <v>9</v>
      </c>
      <c r="D623" s="111" t="s">
        <v>1063</v>
      </c>
      <c r="E623" s="42">
        <v>0</v>
      </c>
      <c r="F623" s="160" t="s">
        <v>825</v>
      </c>
      <c r="G623" s="21">
        <v>1</v>
      </c>
      <c r="H623" s="21">
        <f t="shared" si="39"/>
        <v>50</v>
      </c>
      <c r="I623" s="107" t="s">
        <v>1074</v>
      </c>
      <c r="J623" s="50"/>
    </row>
    <row r="624" spans="1:10">
      <c r="A624" s="41" t="s">
        <v>1088</v>
      </c>
      <c r="B624" s="44" t="s">
        <v>1089</v>
      </c>
      <c r="C624" s="42">
        <v>10</v>
      </c>
      <c r="D624" s="111" t="s">
        <v>1064</v>
      </c>
      <c r="E624" s="42">
        <v>0</v>
      </c>
      <c r="F624" s="160" t="s">
        <v>825</v>
      </c>
      <c r="G624" s="21">
        <v>40</v>
      </c>
      <c r="H624" s="21">
        <f t="shared" si="39"/>
        <v>90</v>
      </c>
      <c r="I624" s="107" t="s">
        <v>144</v>
      </c>
      <c r="J624" s="50"/>
    </row>
    <row r="625" spans="1:10">
      <c r="A625" s="41" t="s">
        <v>1088</v>
      </c>
      <c r="B625" s="44" t="s">
        <v>1089</v>
      </c>
      <c r="C625" s="42">
        <v>11</v>
      </c>
      <c r="D625" s="111" t="s">
        <v>1065</v>
      </c>
      <c r="E625" s="42">
        <v>0</v>
      </c>
      <c r="F625" s="160" t="s">
        <v>825</v>
      </c>
      <c r="G625" s="21">
        <v>1</v>
      </c>
      <c r="H625" s="21">
        <f t="shared" si="39"/>
        <v>91</v>
      </c>
      <c r="I625" s="107" t="s">
        <v>1075</v>
      </c>
      <c r="J625" s="50"/>
    </row>
    <row r="626" spans="1:10" ht="12">
      <c r="A626" s="41" t="s">
        <v>1088</v>
      </c>
      <c r="B626" s="44" t="s">
        <v>1089</v>
      </c>
      <c r="C626" s="42">
        <v>12</v>
      </c>
      <c r="D626" s="111" t="s">
        <v>1066</v>
      </c>
      <c r="E626" s="42">
        <v>0</v>
      </c>
      <c r="F626" s="160" t="s">
        <v>825</v>
      </c>
      <c r="G626" s="21">
        <v>5</v>
      </c>
      <c r="H626" s="21">
        <f t="shared" si="39"/>
        <v>96</v>
      </c>
      <c r="I626" s="107" t="s">
        <v>1081</v>
      </c>
      <c r="J626" s="50"/>
    </row>
    <row r="627" spans="1:10">
      <c r="A627" s="41" t="s">
        <v>1088</v>
      </c>
      <c r="B627" s="44" t="s">
        <v>1089</v>
      </c>
      <c r="C627" s="42">
        <v>13</v>
      </c>
      <c r="D627" s="111" t="s">
        <v>1067</v>
      </c>
      <c r="E627" s="42">
        <v>0</v>
      </c>
      <c r="F627" s="160" t="s">
        <v>825</v>
      </c>
      <c r="G627" s="21">
        <v>1</v>
      </c>
      <c r="H627" s="21">
        <f t="shared" si="39"/>
        <v>97</v>
      </c>
      <c r="I627" s="107" t="s">
        <v>1076</v>
      </c>
      <c r="J627" s="50"/>
    </row>
    <row r="628" spans="1:10">
      <c r="A628" s="41" t="s">
        <v>1088</v>
      </c>
      <c r="B628" s="44" t="s">
        <v>1089</v>
      </c>
      <c r="C628" s="42">
        <v>14</v>
      </c>
      <c r="D628" s="111" t="s">
        <v>1068</v>
      </c>
      <c r="E628" s="42">
        <v>0</v>
      </c>
      <c r="F628" s="160" t="s">
        <v>825</v>
      </c>
      <c r="G628" s="21">
        <v>264</v>
      </c>
      <c r="H628" s="21">
        <f t="shared" si="39"/>
        <v>361</v>
      </c>
      <c r="I628" s="107" t="s">
        <v>1077</v>
      </c>
      <c r="J628" s="50"/>
    </row>
    <row r="629" spans="1:10">
      <c r="A629" s="41" t="s">
        <v>1088</v>
      </c>
      <c r="B629" s="44" t="s">
        <v>1089</v>
      </c>
      <c r="C629" s="42">
        <v>15</v>
      </c>
      <c r="D629" s="111" t="s">
        <v>1069</v>
      </c>
      <c r="E629" s="42">
        <v>0</v>
      </c>
      <c r="F629" s="160" t="s">
        <v>825</v>
      </c>
      <c r="G629" s="21">
        <v>1000</v>
      </c>
      <c r="H629" s="21">
        <f t="shared" si="39"/>
        <v>1361</v>
      </c>
      <c r="I629" s="107" t="s">
        <v>1078</v>
      </c>
      <c r="J629" s="50"/>
    </row>
    <row r="630" spans="1:10">
      <c r="A630" s="41" t="s">
        <v>1088</v>
      </c>
      <c r="B630" s="44" t="s">
        <v>1089</v>
      </c>
      <c r="C630" s="42">
        <v>16</v>
      </c>
      <c r="D630" s="111" t="s">
        <v>1070</v>
      </c>
      <c r="E630" s="42">
        <v>0</v>
      </c>
      <c r="F630" s="160" t="s">
        <v>825</v>
      </c>
      <c r="G630" s="21">
        <v>1</v>
      </c>
      <c r="H630" s="21">
        <f t="shared" si="39"/>
        <v>1362</v>
      </c>
      <c r="I630" s="107" t="s">
        <v>1079</v>
      </c>
      <c r="J630" s="50"/>
    </row>
    <row r="631" spans="1:10">
      <c r="A631" s="41" t="s">
        <v>1088</v>
      </c>
      <c r="B631" s="44" t="s">
        <v>1089</v>
      </c>
      <c r="C631" s="42">
        <v>17</v>
      </c>
      <c r="D631" s="111" t="s">
        <v>1071</v>
      </c>
      <c r="E631" s="42">
        <v>0</v>
      </c>
      <c r="F631" s="160" t="s">
        <v>825</v>
      </c>
      <c r="G631" s="21">
        <v>1</v>
      </c>
      <c r="H631" s="21">
        <f t="shared" si="39"/>
        <v>1363</v>
      </c>
      <c r="I631" s="107" t="s">
        <v>1079</v>
      </c>
      <c r="J631" s="50"/>
    </row>
    <row r="632" spans="1:10">
      <c r="A632" s="41" t="s">
        <v>1088</v>
      </c>
      <c r="B632" s="44" t="s">
        <v>1089</v>
      </c>
      <c r="C632" s="42">
        <v>18</v>
      </c>
      <c r="D632" s="111" t="s">
        <v>1072</v>
      </c>
      <c r="E632" s="42">
        <v>0</v>
      </c>
      <c r="F632" s="160" t="s">
        <v>825</v>
      </c>
      <c r="G632" s="21">
        <v>2</v>
      </c>
      <c r="H632" s="21">
        <f t="shared" si="39"/>
        <v>1365</v>
      </c>
      <c r="I632" s="107" t="s">
        <v>1080</v>
      </c>
      <c r="J632" s="50"/>
    </row>
    <row r="633" spans="1:10">
      <c r="A633" s="41" t="s">
        <v>1088</v>
      </c>
      <c r="B633" s="108" t="s">
        <v>1089</v>
      </c>
      <c r="C633" s="42">
        <v>19</v>
      </c>
      <c r="D633" s="108" t="s">
        <v>39</v>
      </c>
      <c r="E633" s="39">
        <v>0</v>
      </c>
      <c r="F633" s="161" t="s">
        <v>825</v>
      </c>
      <c r="G633" s="114">
        <v>1</v>
      </c>
      <c r="H633" s="149">
        <f t="shared" si="39"/>
        <v>1366</v>
      </c>
      <c r="I633" s="108" t="s">
        <v>1091</v>
      </c>
      <c r="J633" s="114"/>
    </row>
    <row r="634" spans="1:10">
      <c r="A634" s="41" t="s">
        <v>924</v>
      </c>
      <c r="B634" s="44" t="s">
        <v>458</v>
      </c>
      <c r="C634" s="42">
        <v>1</v>
      </c>
      <c r="D634" s="111" t="s">
        <v>389</v>
      </c>
      <c r="E634" s="123">
        <v>0</v>
      </c>
      <c r="F634" s="162" t="s">
        <v>825</v>
      </c>
      <c r="G634" s="40">
        <v>2</v>
      </c>
      <c r="H634" s="40">
        <v>2</v>
      </c>
      <c r="I634" s="111" t="s">
        <v>122</v>
      </c>
      <c r="J634" s="40"/>
    </row>
    <row r="635" spans="1:10">
      <c r="A635" s="41" t="s">
        <v>620</v>
      </c>
      <c r="B635" s="44" t="s">
        <v>458</v>
      </c>
      <c r="C635" s="25">
        <v>2</v>
      </c>
      <c r="D635" s="111" t="s">
        <v>929</v>
      </c>
      <c r="E635" s="52">
        <v>0</v>
      </c>
      <c r="F635" s="160" t="s">
        <v>825</v>
      </c>
      <c r="G635" s="49">
        <v>3</v>
      </c>
      <c r="H635" s="21">
        <f t="shared" ref="H635:H646" si="40">H634+G635</f>
        <v>5</v>
      </c>
      <c r="I635" s="107" t="s">
        <v>1456</v>
      </c>
      <c r="J635" s="50"/>
    </row>
    <row r="636" spans="1:10">
      <c r="A636" s="41" t="s">
        <v>620</v>
      </c>
      <c r="B636" s="44" t="s">
        <v>458</v>
      </c>
      <c r="C636" s="164">
        <v>3</v>
      </c>
      <c r="D636" s="111" t="s">
        <v>881</v>
      </c>
      <c r="E636" s="52">
        <v>0</v>
      </c>
      <c r="F636" s="160" t="s">
        <v>825</v>
      </c>
      <c r="G636" s="49">
        <v>12</v>
      </c>
      <c r="H636" s="21">
        <f t="shared" si="40"/>
        <v>17</v>
      </c>
      <c r="I636" s="107" t="s">
        <v>144</v>
      </c>
      <c r="J636" s="50"/>
    </row>
    <row r="637" spans="1:10">
      <c r="A637" s="41" t="s">
        <v>620</v>
      </c>
      <c r="B637" s="44" t="s">
        <v>458</v>
      </c>
      <c r="C637" s="135">
        <v>4</v>
      </c>
      <c r="D637" s="111" t="s">
        <v>665</v>
      </c>
      <c r="E637" s="52">
        <v>0</v>
      </c>
      <c r="F637" s="160" t="s">
        <v>825</v>
      </c>
      <c r="G637" s="49">
        <v>2</v>
      </c>
      <c r="H637" s="21">
        <f t="shared" si="40"/>
        <v>19</v>
      </c>
      <c r="I637" s="107" t="s">
        <v>277</v>
      </c>
      <c r="J637" s="50"/>
    </row>
    <row r="638" spans="1:10">
      <c r="A638" s="41" t="s">
        <v>620</v>
      </c>
      <c r="B638" s="44" t="s">
        <v>458</v>
      </c>
      <c r="C638" s="164">
        <v>5</v>
      </c>
      <c r="D638" s="111" t="s">
        <v>415</v>
      </c>
      <c r="E638" s="52">
        <v>0</v>
      </c>
      <c r="F638" s="160" t="s">
        <v>825</v>
      </c>
      <c r="G638" s="49">
        <v>8</v>
      </c>
      <c r="H638" s="21">
        <f t="shared" si="40"/>
        <v>27</v>
      </c>
      <c r="I638" s="107" t="s">
        <v>353</v>
      </c>
      <c r="J638" s="50"/>
    </row>
    <row r="639" spans="1:10">
      <c r="A639" s="41" t="s">
        <v>620</v>
      </c>
      <c r="B639" s="44" t="s">
        <v>458</v>
      </c>
      <c r="C639" s="135">
        <v>6</v>
      </c>
      <c r="D639" s="111" t="s">
        <v>413</v>
      </c>
      <c r="E639" s="52">
        <v>0</v>
      </c>
      <c r="F639" s="160" t="s">
        <v>825</v>
      </c>
      <c r="G639" s="49">
        <v>6</v>
      </c>
      <c r="H639" s="21">
        <f t="shared" si="40"/>
        <v>33</v>
      </c>
      <c r="I639" s="107" t="s">
        <v>816</v>
      </c>
      <c r="J639" s="50"/>
    </row>
    <row r="640" spans="1:10">
      <c r="A640" s="41" t="s">
        <v>620</v>
      </c>
      <c r="B640" s="44" t="s">
        <v>458</v>
      </c>
      <c r="C640" s="164">
        <v>7</v>
      </c>
      <c r="D640" s="111" t="s">
        <v>488</v>
      </c>
      <c r="E640" s="52">
        <v>0</v>
      </c>
      <c r="F640" s="160" t="s">
        <v>825</v>
      </c>
      <c r="G640" s="49">
        <v>1</v>
      </c>
      <c r="H640" s="21">
        <f t="shared" si="40"/>
        <v>34</v>
      </c>
      <c r="I640" s="107" t="s">
        <v>472</v>
      </c>
      <c r="J640" s="50"/>
    </row>
    <row r="641" spans="1:10">
      <c r="A641" s="41" t="s">
        <v>620</v>
      </c>
      <c r="B641" s="44" t="s">
        <v>458</v>
      </c>
      <c r="C641" s="135">
        <v>8</v>
      </c>
      <c r="D641" s="111" t="s">
        <v>424</v>
      </c>
      <c r="E641" s="52">
        <v>0</v>
      </c>
      <c r="F641" s="160" t="s">
        <v>825</v>
      </c>
      <c r="G641" s="49">
        <v>4</v>
      </c>
      <c r="H641" s="21">
        <f t="shared" si="40"/>
        <v>38</v>
      </c>
      <c r="I641" s="107" t="s">
        <v>481</v>
      </c>
      <c r="J641" s="50"/>
    </row>
    <row r="642" spans="1:10" ht="33.75">
      <c r="A642" s="41" t="s">
        <v>620</v>
      </c>
      <c r="B642" s="44" t="s">
        <v>458</v>
      </c>
      <c r="C642" s="164">
        <v>9</v>
      </c>
      <c r="D642" s="111" t="s">
        <v>690</v>
      </c>
      <c r="E642" s="52">
        <v>0</v>
      </c>
      <c r="F642" s="160" t="s">
        <v>825</v>
      </c>
      <c r="G642" s="49">
        <v>2</v>
      </c>
      <c r="H642" s="21">
        <f t="shared" si="40"/>
        <v>40</v>
      </c>
      <c r="I642" s="107" t="s">
        <v>442</v>
      </c>
      <c r="J642" s="50"/>
    </row>
    <row r="643" spans="1:10">
      <c r="A643" s="41" t="s">
        <v>620</v>
      </c>
      <c r="B643" s="44" t="s">
        <v>458</v>
      </c>
      <c r="C643" s="135">
        <v>10</v>
      </c>
      <c r="D643" s="111" t="s">
        <v>725</v>
      </c>
      <c r="E643" s="52">
        <v>0</v>
      </c>
      <c r="F643" s="160" t="s">
        <v>825</v>
      </c>
      <c r="G643" s="49">
        <v>4</v>
      </c>
      <c r="H643" s="21">
        <f t="shared" si="40"/>
        <v>44</v>
      </c>
      <c r="I643" s="107" t="s">
        <v>445</v>
      </c>
      <c r="J643" s="50"/>
    </row>
    <row r="644" spans="1:10">
      <c r="A644" s="41" t="s">
        <v>620</v>
      </c>
      <c r="B644" s="44" t="s">
        <v>458</v>
      </c>
      <c r="C644" s="164">
        <v>11</v>
      </c>
      <c r="D644" s="111" t="s">
        <v>810</v>
      </c>
      <c r="E644" s="52">
        <v>5</v>
      </c>
      <c r="F644" s="160" t="s">
        <v>824</v>
      </c>
      <c r="G644" s="49">
        <v>9</v>
      </c>
      <c r="H644" s="21">
        <f t="shared" si="40"/>
        <v>53</v>
      </c>
      <c r="I644" s="107">
        <v>999.99999000000003</v>
      </c>
      <c r="J644" s="50"/>
    </row>
    <row r="645" spans="1:10">
      <c r="A645" s="41" t="s">
        <v>620</v>
      </c>
      <c r="B645" s="44" t="s">
        <v>458</v>
      </c>
      <c r="C645" s="135">
        <v>12</v>
      </c>
      <c r="D645" s="111" t="s">
        <v>881</v>
      </c>
      <c r="E645" s="52">
        <v>0</v>
      </c>
      <c r="F645" s="160" t="s">
        <v>825</v>
      </c>
      <c r="G645" s="49">
        <v>446</v>
      </c>
      <c r="H645" s="21">
        <f t="shared" si="40"/>
        <v>499</v>
      </c>
      <c r="I645" s="107" t="s">
        <v>787</v>
      </c>
      <c r="J645" s="50"/>
    </row>
    <row r="646" spans="1:10">
      <c r="A646" s="41" t="s">
        <v>620</v>
      </c>
      <c r="B646" s="116" t="s">
        <v>458</v>
      </c>
      <c r="C646" s="165">
        <v>13</v>
      </c>
      <c r="D646" s="116" t="s">
        <v>39</v>
      </c>
      <c r="E646" s="39">
        <v>0</v>
      </c>
      <c r="F646" s="161" t="s">
        <v>825</v>
      </c>
      <c r="G646" s="114">
        <v>1</v>
      </c>
      <c r="H646" s="114">
        <f t="shared" si="40"/>
        <v>500</v>
      </c>
      <c r="I646" s="112" t="s">
        <v>544</v>
      </c>
      <c r="J646" s="114"/>
    </row>
    <row r="647" spans="1:10">
      <c r="A647" s="41" t="s">
        <v>798</v>
      </c>
      <c r="B647" s="44" t="s">
        <v>900</v>
      </c>
      <c r="C647" s="42">
        <v>1</v>
      </c>
      <c r="D647" s="111" t="s">
        <v>389</v>
      </c>
      <c r="E647" s="42">
        <v>0</v>
      </c>
      <c r="F647" s="120" t="s">
        <v>825</v>
      </c>
      <c r="G647" s="40">
        <v>2</v>
      </c>
      <c r="H647" s="40">
        <v>2</v>
      </c>
      <c r="I647" s="111" t="s">
        <v>137</v>
      </c>
      <c r="J647" s="40"/>
    </row>
    <row r="648" spans="1:10">
      <c r="A648" s="41" t="s">
        <v>798</v>
      </c>
      <c r="B648" s="48" t="s">
        <v>900</v>
      </c>
      <c r="C648" s="25">
        <v>2</v>
      </c>
      <c r="D648" s="113" t="s">
        <v>929</v>
      </c>
      <c r="E648" s="52">
        <v>0</v>
      </c>
      <c r="F648" s="160" t="s">
        <v>825</v>
      </c>
      <c r="G648" s="49">
        <v>3</v>
      </c>
      <c r="H648" s="21">
        <f t="shared" ref="H648:H665" si="41">H647+G648</f>
        <v>5</v>
      </c>
      <c r="I648" s="113" t="s">
        <v>1457</v>
      </c>
      <c r="J648" s="50"/>
    </row>
    <row r="649" spans="1:10">
      <c r="A649" s="41" t="s">
        <v>798</v>
      </c>
      <c r="B649" s="48" t="s">
        <v>900</v>
      </c>
      <c r="C649" s="164">
        <v>3</v>
      </c>
      <c r="D649" s="113" t="s">
        <v>943</v>
      </c>
      <c r="E649" s="52">
        <v>0</v>
      </c>
      <c r="F649" s="160" t="s">
        <v>825</v>
      </c>
      <c r="G649" s="49">
        <v>12</v>
      </c>
      <c r="H649" s="21">
        <f t="shared" si="41"/>
        <v>17</v>
      </c>
      <c r="I649" s="107" t="s">
        <v>563</v>
      </c>
      <c r="J649" s="50"/>
    </row>
    <row r="650" spans="1:10" ht="45">
      <c r="A650" s="41" t="s">
        <v>798</v>
      </c>
      <c r="B650" s="48" t="s">
        <v>900</v>
      </c>
      <c r="C650" s="135">
        <v>4</v>
      </c>
      <c r="D650" s="113" t="s">
        <v>665</v>
      </c>
      <c r="E650" s="52">
        <v>0</v>
      </c>
      <c r="F650" s="109" t="s">
        <v>825</v>
      </c>
      <c r="G650" s="49">
        <v>2</v>
      </c>
      <c r="H650" s="21">
        <f t="shared" si="41"/>
        <v>19</v>
      </c>
      <c r="I650" s="113" t="s">
        <v>190</v>
      </c>
      <c r="J650" s="50"/>
    </row>
    <row r="651" spans="1:10">
      <c r="A651" s="41" t="s">
        <v>798</v>
      </c>
      <c r="B651" s="48" t="s">
        <v>900</v>
      </c>
      <c r="C651" s="164">
        <v>5</v>
      </c>
      <c r="D651" s="113" t="s">
        <v>423</v>
      </c>
      <c r="E651" s="52">
        <v>0</v>
      </c>
      <c r="F651" s="109" t="s">
        <v>825</v>
      </c>
      <c r="G651" s="49">
        <v>8</v>
      </c>
      <c r="H651" s="21">
        <f t="shared" si="41"/>
        <v>27</v>
      </c>
      <c r="I651" s="113" t="s">
        <v>353</v>
      </c>
      <c r="J651" s="50"/>
    </row>
    <row r="652" spans="1:10">
      <c r="A652" s="41" t="s">
        <v>798</v>
      </c>
      <c r="B652" s="48" t="s">
        <v>900</v>
      </c>
      <c r="C652" s="135">
        <v>6</v>
      </c>
      <c r="D652" s="113" t="s">
        <v>422</v>
      </c>
      <c r="E652" s="52">
        <v>0</v>
      </c>
      <c r="F652" s="109" t="s">
        <v>825</v>
      </c>
      <c r="G652" s="49">
        <v>6</v>
      </c>
      <c r="H652" s="21">
        <f t="shared" si="41"/>
        <v>33</v>
      </c>
      <c r="I652" s="113" t="s">
        <v>796</v>
      </c>
      <c r="J652" s="50"/>
    </row>
    <row r="653" spans="1:10">
      <c r="A653" s="41" t="s">
        <v>798</v>
      </c>
      <c r="B653" s="48" t="s">
        <v>900</v>
      </c>
      <c r="C653" s="164">
        <v>7</v>
      </c>
      <c r="D653" s="113" t="s">
        <v>488</v>
      </c>
      <c r="E653" s="52">
        <v>0</v>
      </c>
      <c r="F653" s="109" t="s">
        <v>825</v>
      </c>
      <c r="G653" s="49">
        <v>1</v>
      </c>
      <c r="H653" s="21">
        <f t="shared" si="41"/>
        <v>34</v>
      </c>
      <c r="I653" s="113" t="s">
        <v>910</v>
      </c>
      <c r="J653" s="50"/>
    </row>
    <row r="654" spans="1:10">
      <c r="A654" s="41" t="s">
        <v>798</v>
      </c>
      <c r="B654" s="48" t="s">
        <v>900</v>
      </c>
      <c r="C654" s="135">
        <v>8</v>
      </c>
      <c r="D654" s="113" t="s">
        <v>499</v>
      </c>
      <c r="E654" s="52">
        <v>0</v>
      </c>
      <c r="F654" s="122" t="s">
        <v>806</v>
      </c>
      <c r="G654" s="49">
        <v>8</v>
      </c>
      <c r="H654" s="21">
        <f t="shared" si="41"/>
        <v>42</v>
      </c>
      <c r="I654" s="113" t="s">
        <v>144</v>
      </c>
      <c r="J654" s="50"/>
    </row>
    <row r="655" spans="1:10" ht="22.5">
      <c r="A655" s="41" t="s">
        <v>798</v>
      </c>
      <c r="B655" s="48" t="s">
        <v>900</v>
      </c>
      <c r="C655" s="164">
        <v>9</v>
      </c>
      <c r="D655" s="113" t="s">
        <v>447</v>
      </c>
      <c r="E655" s="52">
        <v>0</v>
      </c>
      <c r="F655" s="122" t="s">
        <v>806</v>
      </c>
      <c r="G655" s="49">
        <v>8</v>
      </c>
      <c r="H655" s="21">
        <f t="shared" si="41"/>
        <v>50</v>
      </c>
      <c r="I655" s="113" t="s">
        <v>256</v>
      </c>
      <c r="J655" s="50"/>
    </row>
    <row r="656" spans="1:10">
      <c r="A656" s="41" t="s">
        <v>798</v>
      </c>
      <c r="B656" s="48" t="s">
        <v>900</v>
      </c>
      <c r="C656" s="135">
        <v>10</v>
      </c>
      <c r="D656" s="113" t="s">
        <v>758</v>
      </c>
      <c r="E656" s="52">
        <v>0</v>
      </c>
      <c r="F656" s="50"/>
      <c r="G656" s="49">
        <v>1</v>
      </c>
      <c r="H656" s="21">
        <f t="shared" si="41"/>
        <v>51</v>
      </c>
      <c r="I656" s="113" t="s">
        <v>304</v>
      </c>
      <c r="J656" s="50"/>
    </row>
    <row r="657" spans="1:10" ht="22.5">
      <c r="A657" s="41" t="s">
        <v>798</v>
      </c>
      <c r="B657" s="48" t="s">
        <v>900</v>
      </c>
      <c r="C657" s="164">
        <v>11</v>
      </c>
      <c r="D657" s="113" t="s">
        <v>814</v>
      </c>
      <c r="E657" s="52">
        <v>0</v>
      </c>
      <c r="F657" s="122" t="s">
        <v>806</v>
      </c>
      <c r="G657" s="49">
        <v>16</v>
      </c>
      <c r="H657" s="21">
        <f t="shared" si="41"/>
        <v>67</v>
      </c>
      <c r="I657" s="113" t="s">
        <v>15</v>
      </c>
      <c r="J657" s="50"/>
    </row>
    <row r="658" spans="1:10" ht="22.5">
      <c r="A658" s="41" t="s">
        <v>798</v>
      </c>
      <c r="B658" s="48" t="s">
        <v>900</v>
      </c>
      <c r="C658" s="135">
        <v>12</v>
      </c>
      <c r="D658" s="113" t="s">
        <v>512</v>
      </c>
      <c r="E658" s="52">
        <v>0</v>
      </c>
      <c r="F658" s="122" t="s">
        <v>999</v>
      </c>
      <c r="G658" s="49">
        <v>8</v>
      </c>
      <c r="H658" s="21">
        <f t="shared" si="41"/>
        <v>75</v>
      </c>
      <c r="I658" s="113" t="s">
        <v>346</v>
      </c>
      <c r="J658" s="50"/>
    </row>
    <row r="659" spans="1:10">
      <c r="A659" s="41" t="s">
        <v>798</v>
      </c>
      <c r="B659" s="48" t="s">
        <v>900</v>
      </c>
      <c r="C659" s="164">
        <v>13</v>
      </c>
      <c r="D659" s="113" t="s">
        <v>425</v>
      </c>
      <c r="E659" s="52">
        <v>5</v>
      </c>
      <c r="F659" s="122" t="s">
        <v>824</v>
      </c>
      <c r="G659" s="49">
        <v>8</v>
      </c>
      <c r="H659" s="21">
        <f t="shared" si="41"/>
        <v>83</v>
      </c>
      <c r="I659" s="113" t="s">
        <v>352</v>
      </c>
      <c r="J659" s="50"/>
    </row>
    <row r="660" spans="1:10">
      <c r="A660" s="41" t="s">
        <v>798</v>
      </c>
      <c r="B660" s="48" t="s">
        <v>900</v>
      </c>
      <c r="C660" s="135">
        <v>14</v>
      </c>
      <c r="D660" s="113" t="s">
        <v>399</v>
      </c>
      <c r="E660" s="52">
        <v>0</v>
      </c>
      <c r="F660" s="109" t="s">
        <v>825</v>
      </c>
      <c r="G660" s="49">
        <v>8</v>
      </c>
      <c r="H660" s="21">
        <f t="shared" si="41"/>
        <v>91</v>
      </c>
      <c r="I660" s="113" t="s">
        <v>353</v>
      </c>
      <c r="J660" s="50"/>
    </row>
    <row r="661" spans="1:10">
      <c r="A661" s="41" t="s">
        <v>798</v>
      </c>
      <c r="B661" s="48" t="s">
        <v>900</v>
      </c>
      <c r="C661" s="164">
        <v>15</v>
      </c>
      <c r="D661" s="113" t="s">
        <v>476</v>
      </c>
      <c r="E661" s="52">
        <v>5</v>
      </c>
      <c r="F661" s="122" t="s">
        <v>824</v>
      </c>
      <c r="G661" s="49">
        <v>8</v>
      </c>
      <c r="H661" s="21">
        <f t="shared" si="41"/>
        <v>99</v>
      </c>
      <c r="I661" s="113" t="s">
        <v>354</v>
      </c>
      <c r="J661" s="50"/>
    </row>
    <row r="662" spans="1:10">
      <c r="A662" s="41" t="s">
        <v>798</v>
      </c>
      <c r="B662" s="48" t="s">
        <v>900</v>
      </c>
      <c r="C662" s="135">
        <v>16</v>
      </c>
      <c r="D662" s="113" t="s">
        <v>672</v>
      </c>
      <c r="E662" s="52">
        <v>0</v>
      </c>
      <c r="F662" s="109" t="s">
        <v>825</v>
      </c>
      <c r="G662" s="49">
        <v>1</v>
      </c>
      <c r="H662" s="21">
        <f t="shared" si="41"/>
        <v>100</v>
      </c>
      <c r="I662" s="113" t="s">
        <v>13</v>
      </c>
      <c r="J662" s="50"/>
    </row>
    <row r="663" spans="1:10" ht="22.5">
      <c r="A663" s="41" t="s">
        <v>798</v>
      </c>
      <c r="B663" s="48" t="s">
        <v>900</v>
      </c>
      <c r="C663" s="164">
        <v>17</v>
      </c>
      <c r="D663" s="113" t="s">
        <v>648</v>
      </c>
      <c r="E663" s="52">
        <v>4</v>
      </c>
      <c r="F663" s="122" t="s">
        <v>824</v>
      </c>
      <c r="G663" s="49">
        <v>8</v>
      </c>
      <c r="H663" s="21">
        <f t="shared" si="41"/>
        <v>108</v>
      </c>
      <c r="I663" s="113" t="s">
        <v>261</v>
      </c>
      <c r="J663" s="50"/>
    </row>
    <row r="664" spans="1:10">
      <c r="A664" s="41" t="s">
        <v>798</v>
      </c>
      <c r="B664" s="48" t="s">
        <v>900</v>
      </c>
      <c r="C664" s="135">
        <v>18</v>
      </c>
      <c r="D664" s="113" t="s">
        <v>492</v>
      </c>
      <c r="E664" s="52">
        <v>0</v>
      </c>
      <c r="F664" s="109" t="s">
        <v>825</v>
      </c>
      <c r="G664" s="49">
        <v>1</v>
      </c>
      <c r="H664" s="21">
        <f t="shared" si="41"/>
        <v>109</v>
      </c>
      <c r="I664" s="113" t="s">
        <v>308</v>
      </c>
      <c r="J664" s="50"/>
    </row>
    <row r="665" spans="1:10">
      <c r="A665" s="41" t="s">
        <v>798</v>
      </c>
      <c r="B665" s="45" t="s">
        <v>900</v>
      </c>
      <c r="C665" s="165">
        <v>19</v>
      </c>
      <c r="D665" s="108" t="s">
        <v>39</v>
      </c>
      <c r="E665" s="39">
        <v>0</v>
      </c>
      <c r="F665" s="121" t="s">
        <v>825</v>
      </c>
      <c r="G665" s="114">
        <v>1</v>
      </c>
      <c r="H665" s="114">
        <f t="shared" si="41"/>
        <v>110</v>
      </c>
      <c r="I665" s="108" t="s">
        <v>544</v>
      </c>
      <c r="J665" s="114"/>
    </row>
    <row r="666" spans="1:10">
      <c r="A666" s="41" t="s">
        <v>780</v>
      </c>
      <c r="B666" s="44" t="s">
        <v>887</v>
      </c>
      <c r="C666" s="42">
        <v>1</v>
      </c>
      <c r="D666" s="111" t="s">
        <v>389</v>
      </c>
      <c r="E666" s="42">
        <v>0</v>
      </c>
      <c r="F666" s="120" t="s">
        <v>825</v>
      </c>
      <c r="G666" s="40">
        <v>2</v>
      </c>
      <c r="H666" s="40">
        <v>2</v>
      </c>
      <c r="I666" s="111" t="s">
        <v>127</v>
      </c>
      <c r="J666" s="40"/>
    </row>
    <row r="667" spans="1:10">
      <c r="A667" s="41" t="s">
        <v>780</v>
      </c>
      <c r="B667" s="48" t="s">
        <v>887</v>
      </c>
      <c r="C667" s="25">
        <v>2</v>
      </c>
      <c r="D667" s="113" t="s">
        <v>929</v>
      </c>
      <c r="E667" s="52">
        <v>0</v>
      </c>
      <c r="F667" s="160" t="s">
        <v>825</v>
      </c>
      <c r="G667" s="49">
        <v>3</v>
      </c>
      <c r="H667" s="21">
        <f t="shared" ref="H667:H679" si="42">H666+G667</f>
        <v>5</v>
      </c>
      <c r="I667" s="113" t="s">
        <v>1457</v>
      </c>
      <c r="J667" s="50"/>
    </row>
    <row r="668" spans="1:10">
      <c r="A668" s="41" t="s">
        <v>780</v>
      </c>
      <c r="B668" s="48" t="s">
        <v>887</v>
      </c>
      <c r="C668" s="164">
        <v>3</v>
      </c>
      <c r="D668" s="113" t="s">
        <v>837</v>
      </c>
      <c r="E668" s="52">
        <v>0</v>
      </c>
      <c r="F668" s="160" t="s">
        <v>825</v>
      </c>
      <c r="G668" s="49">
        <v>12</v>
      </c>
      <c r="H668" s="21">
        <f t="shared" si="42"/>
        <v>17</v>
      </c>
      <c r="I668" s="107" t="s">
        <v>1188</v>
      </c>
      <c r="J668" s="50"/>
    </row>
    <row r="669" spans="1:10">
      <c r="A669" s="41" t="s">
        <v>780</v>
      </c>
      <c r="B669" s="48" t="s">
        <v>887</v>
      </c>
      <c r="C669" s="135">
        <v>4</v>
      </c>
      <c r="D669" s="113" t="s">
        <v>404</v>
      </c>
      <c r="E669" s="52">
        <v>0</v>
      </c>
      <c r="F669" s="122" t="s">
        <v>806</v>
      </c>
      <c r="G669" s="49">
        <v>8</v>
      </c>
      <c r="H669" s="21">
        <f t="shared" si="42"/>
        <v>25</v>
      </c>
      <c r="I669" s="113" t="s">
        <v>1447</v>
      </c>
      <c r="J669" s="50"/>
    </row>
    <row r="670" spans="1:10">
      <c r="A670" s="41" t="s">
        <v>780</v>
      </c>
      <c r="B670" s="48" t="s">
        <v>887</v>
      </c>
      <c r="C670" s="164">
        <v>5</v>
      </c>
      <c r="D670" s="113" t="s">
        <v>423</v>
      </c>
      <c r="E670" s="52">
        <v>0</v>
      </c>
      <c r="F670" s="109" t="s">
        <v>825</v>
      </c>
      <c r="G670" s="49">
        <v>8</v>
      </c>
      <c r="H670" s="21">
        <f t="shared" si="42"/>
        <v>33</v>
      </c>
      <c r="I670" s="113" t="s">
        <v>353</v>
      </c>
      <c r="J670" s="50"/>
    </row>
    <row r="671" spans="1:10">
      <c r="A671" s="41" t="s">
        <v>780</v>
      </c>
      <c r="B671" s="48" t="s">
        <v>887</v>
      </c>
      <c r="C671" s="135">
        <v>6</v>
      </c>
      <c r="D671" s="113" t="s">
        <v>509</v>
      </c>
      <c r="E671" s="52">
        <v>0</v>
      </c>
      <c r="F671" s="109" t="s">
        <v>825</v>
      </c>
      <c r="G671" s="49">
        <v>4</v>
      </c>
      <c r="H671" s="21">
        <f t="shared" si="42"/>
        <v>37</v>
      </c>
      <c r="I671" s="113" t="s">
        <v>474</v>
      </c>
      <c r="J671" s="50"/>
    </row>
    <row r="672" spans="1:10">
      <c r="A672" s="41" t="s">
        <v>780</v>
      </c>
      <c r="B672" s="48" t="s">
        <v>887</v>
      </c>
      <c r="C672" s="164">
        <v>7</v>
      </c>
      <c r="D672" s="113" t="s">
        <v>671</v>
      </c>
      <c r="E672" s="52">
        <v>5</v>
      </c>
      <c r="F672" s="122" t="s">
        <v>824</v>
      </c>
      <c r="G672" s="49">
        <v>10</v>
      </c>
      <c r="H672" s="21">
        <f t="shared" si="42"/>
        <v>47</v>
      </c>
      <c r="I672" s="113" t="s">
        <v>647</v>
      </c>
      <c r="J672" s="50"/>
    </row>
    <row r="673" spans="1:10">
      <c r="A673" s="41" t="s">
        <v>780</v>
      </c>
      <c r="B673" s="48" t="s">
        <v>887</v>
      </c>
      <c r="C673" s="135">
        <v>8</v>
      </c>
      <c r="D673" s="113" t="s">
        <v>651</v>
      </c>
      <c r="E673" s="52">
        <v>5</v>
      </c>
      <c r="F673" s="122" t="s">
        <v>824</v>
      </c>
      <c r="G673" s="49">
        <v>10</v>
      </c>
      <c r="H673" s="21">
        <f t="shared" si="42"/>
        <v>57</v>
      </c>
      <c r="I673" s="113" t="s">
        <v>647</v>
      </c>
      <c r="J673" s="50"/>
    </row>
    <row r="674" spans="1:10">
      <c r="A674" s="41" t="s">
        <v>780</v>
      </c>
      <c r="B674" s="48" t="s">
        <v>887</v>
      </c>
      <c r="C674" s="164">
        <v>9</v>
      </c>
      <c r="D674" s="113" t="s">
        <v>559</v>
      </c>
      <c r="E674" s="52">
        <v>0</v>
      </c>
      <c r="F674" s="122" t="s">
        <v>806</v>
      </c>
      <c r="G674" s="49">
        <v>20</v>
      </c>
      <c r="H674" s="21">
        <f t="shared" si="42"/>
        <v>77</v>
      </c>
      <c r="I674" s="113" t="s">
        <v>144</v>
      </c>
      <c r="J674" s="50"/>
    </row>
    <row r="675" spans="1:10">
      <c r="A675" s="41" t="s">
        <v>780</v>
      </c>
      <c r="B675" s="48" t="s">
        <v>887</v>
      </c>
      <c r="C675" s="135">
        <v>10</v>
      </c>
      <c r="D675" s="113" t="s">
        <v>589</v>
      </c>
      <c r="E675" s="52">
        <v>0</v>
      </c>
      <c r="F675" s="122" t="s">
        <v>806</v>
      </c>
      <c r="G675" s="49">
        <v>20</v>
      </c>
      <c r="H675" s="21">
        <f t="shared" si="42"/>
        <v>97</v>
      </c>
      <c r="I675" s="113" t="s">
        <v>144</v>
      </c>
      <c r="J675" s="50"/>
    </row>
    <row r="676" spans="1:10">
      <c r="A676" s="41" t="s">
        <v>780</v>
      </c>
      <c r="B676" s="48" t="s">
        <v>887</v>
      </c>
      <c r="C676" s="164">
        <v>11</v>
      </c>
      <c r="D676" s="113" t="s">
        <v>575</v>
      </c>
      <c r="E676" s="52">
        <v>0</v>
      </c>
      <c r="F676" s="122" t="s">
        <v>806</v>
      </c>
      <c r="G676" s="49">
        <v>20</v>
      </c>
      <c r="H676" s="21">
        <f t="shared" si="42"/>
        <v>117</v>
      </c>
      <c r="I676" s="113" t="s">
        <v>144</v>
      </c>
      <c r="J676" s="50"/>
    </row>
    <row r="677" spans="1:10">
      <c r="A677" s="41" t="s">
        <v>780</v>
      </c>
      <c r="B677" s="48" t="s">
        <v>887</v>
      </c>
      <c r="C677" s="135">
        <v>12</v>
      </c>
      <c r="D677" s="113" t="s">
        <v>565</v>
      </c>
      <c r="E677" s="52">
        <v>0</v>
      </c>
      <c r="F677" s="122" t="s">
        <v>806</v>
      </c>
      <c r="G677" s="49">
        <v>20</v>
      </c>
      <c r="H677" s="21">
        <f t="shared" si="42"/>
        <v>137</v>
      </c>
      <c r="I677" s="113" t="s">
        <v>144</v>
      </c>
      <c r="J677" s="50"/>
    </row>
    <row r="678" spans="1:10">
      <c r="A678" s="41" t="s">
        <v>780</v>
      </c>
      <c r="B678" s="48" t="s">
        <v>887</v>
      </c>
      <c r="C678" s="164">
        <v>13</v>
      </c>
      <c r="D678" s="113" t="s">
        <v>881</v>
      </c>
      <c r="E678" s="52">
        <v>0</v>
      </c>
      <c r="F678" s="109" t="s">
        <v>825</v>
      </c>
      <c r="G678" s="49">
        <v>2</v>
      </c>
      <c r="H678" s="21">
        <f t="shared" si="42"/>
        <v>139</v>
      </c>
      <c r="I678" s="113" t="s">
        <v>787</v>
      </c>
      <c r="J678" s="50"/>
    </row>
    <row r="679" spans="1:10">
      <c r="A679" s="41" t="s">
        <v>780</v>
      </c>
      <c r="B679" s="45" t="s">
        <v>887</v>
      </c>
      <c r="C679" s="146">
        <v>14</v>
      </c>
      <c r="D679" s="108" t="s">
        <v>39</v>
      </c>
      <c r="E679" s="51">
        <v>0</v>
      </c>
      <c r="F679" s="121" t="s">
        <v>825</v>
      </c>
      <c r="G679" s="114">
        <v>1</v>
      </c>
      <c r="H679" s="114">
        <f t="shared" si="42"/>
        <v>140</v>
      </c>
      <c r="I679" s="108" t="s">
        <v>544</v>
      </c>
      <c r="J679" s="114"/>
    </row>
    <row r="680" spans="1:10">
      <c r="A680" s="41" t="s">
        <v>849</v>
      </c>
      <c r="B680" s="44" t="s">
        <v>270</v>
      </c>
      <c r="C680" s="42">
        <v>1</v>
      </c>
      <c r="D680" s="111" t="s">
        <v>389</v>
      </c>
      <c r="E680" s="42">
        <v>0</v>
      </c>
      <c r="F680" s="120" t="s">
        <v>825</v>
      </c>
      <c r="G680" s="40">
        <v>2</v>
      </c>
      <c r="H680" s="40">
        <v>2</v>
      </c>
      <c r="I680" s="111" t="s">
        <v>149</v>
      </c>
      <c r="J680" s="40"/>
    </row>
    <row r="681" spans="1:10">
      <c r="A681" s="41" t="s">
        <v>849</v>
      </c>
      <c r="B681" s="48" t="s">
        <v>270</v>
      </c>
      <c r="C681" s="25">
        <v>2</v>
      </c>
      <c r="D681" s="113" t="s">
        <v>929</v>
      </c>
      <c r="E681" s="52">
        <v>0</v>
      </c>
      <c r="F681" s="160" t="s">
        <v>825</v>
      </c>
      <c r="G681" s="49">
        <v>3</v>
      </c>
      <c r="H681" s="21">
        <f t="shared" ref="H681:H693" si="43">H680+G681</f>
        <v>5</v>
      </c>
      <c r="I681" s="113" t="s">
        <v>1457</v>
      </c>
      <c r="J681" s="50"/>
    </row>
    <row r="682" spans="1:10">
      <c r="A682" s="41" t="s">
        <v>849</v>
      </c>
      <c r="B682" s="48" t="s">
        <v>270</v>
      </c>
      <c r="C682" s="164">
        <v>3</v>
      </c>
      <c r="D682" s="113" t="s">
        <v>769</v>
      </c>
      <c r="E682" s="52">
        <v>0</v>
      </c>
      <c r="F682" s="109" t="s">
        <v>825</v>
      </c>
      <c r="G682" s="49">
        <v>1</v>
      </c>
      <c r="H682" s="21">
        <f t="shared" si="43"/>
        <v>6</v>
      </c>
      <c r="I682" s="113" t="s">
        <v>721</v>
      </c>
      <c r="J682" s="50"/>
    </row>
    <row r="683" spans="1:10">
      <c r="A683" s="41" t="s">
        <v>849</v>
      </c>
      <c r="B683" s="48" t="s">
        <v>270</v>
      </c>
      <c r="C683" s="135">
        <v>4</v>
      </c>
      <c r="D683" s="113" t="s">
        <v>795</v>
      </c>
      <c r="E683" s="52">
        <v>0</v>
      </c>
      <c r="F683" s="109" t="s">
        <v>825</v>
      </c>
      <c r="G683" s="49">
        <v>8</v>
      </c>
      <c r="H683" s="21">
        <f t="shared" si="43"/>
        <v>14</v>
      </c>
      <c r="I683" s="113" t="s">
        <v>353</v>
      </c>
      <c r="J683" s="50"/>
    </row>
    <row r="684" spans="1:10">
      <c r="A684" s="41" t="s">
        <v>849</v>
      </c>
      <c r="B684" s="48" t="s">
        <v>270</v>
      </c>
      <c r="C684" s="164">
        <v>5</v>
      </c>
      <c r="D684" s="113" t="s">
        <v>494</v>
      </c>
      <c r="E684" s="52">
        <v>0</v>
      </c>
      <c r="F684" s="109" t="s">
        <v>825</v>
      </c>
      <c r="G684" s="49">
        <v>4</v>
      </c>
      <c r="H684" s="21">
        <f t="shared" si="43"/>
        <v>18</v>
      </c>
      <c r="I684" s="113" t="s">
        <v>474</v>
      </c>
      <c r="J684" s="50"/>
    </row>
    <row r="685" spans="1:10" ht="22.5">
      <c r="A685" s="41" t="s">
        <v>849</v>
      </c>
      <c r="B685" s="48" t="s">
        <v>270</v>
      </c>
      <c r="C685" s="135">
        <v>6</v>
      </c>
      <c r="D685" s="113" t="s">
        <v>411</v>
      </c>
      <c r="E685" s="52">
        <v>0</v>
      </c>
      <c r="F685" s="109" t="s">
        <v>825</v>
      </c>
      <c r="G685" s="49">
        <v>4</v>
      </c>
      <c r="H685" s="21">
        <f t="shared" si="43"/>
        <v>22</v>
      </c>
      <c r="I685" s="113" t="s">
        <v>235</v>
      </c>
      <c r="J685" s="50"/>
    </row>
    <row r="686" spans="1:10">
      <c r="A686" s="41" t="s">
        <v>849</v>
      </c>
      <c r="B686" s="48" t="s">
        <v>270</v>
      </c>
      <c r="C686" s="164">
        <v>7</v>
      </c>
      <c r="D686" s="113" t="s">
        <v>671</v>
      </c>
      <c r="E686" s="52">
        <v>4</v>
      </c>
      <c r="F686" s="122" t="s">
        <v>824</v>
      </c>
      <c r="G686" s="49">
        <v>8</v>
      </c>
      <c r="H686" s="21">
        <f t="shared" si="43"/>
        <v>30</v>
      </c>
      <c r="I686" s="113" t="s">
        <v>652</v>
      </c>
      <c r="J686" s="50"/>
    </row>
    <row r="687" spans="1:10">
      <c r="A687" s="41" t="s">
        <v>849</v>
      </c>
      <c r="B687" s="48" t="s">
        <v>270</v>
      </c>
      <c r="C687" s="135">
        <v>8</v>
      </c>
      <c r="D687" s="113" t="s">
        <v>559</v>
      </c>
      <c r="E687" s="52">
        <v>0</v>
      </c>
      <c r="F687" s="122" t="s">
        <v>806</v>
      </c>
      <c r="G687" s="49">
        <v>15</v>
      </c>
      <c r="H687" s="21">
        <f t="shared" si="43"/>
        <v>45</v>
      </c>
      <c r="I687" s="113" t="s">
        <v>489</v>
      </c>
      <c r="J687" s="50"/>
    </row>
    <row r="688" spans="1:10">
      <c r="A688" s="41" t="s">
        <v>849</v>
      </c>
      <c r="B688" s="48" t="s">
        <v>270</v>
      </c>
      <c r="C688" s="164">
        <v>9</v>
      </c>
      <c r="D688" s="113" t="s">
        <v>575</v>
      </c>
      <c r="E688" s="52">
        <v>0</v>
      </c>
      <c r="F688" s="122" t="s">
        <v>806</v>
      </c>
      <c r="G688" s="49">
        <v>15</v>
      </c>
      <c r="H688" s="21">
        <f t="shared" si="43"/>
        <v>60</v>
      </c>
      <c r="I688" s="113" t="s">
        <v>489</v>
      </c>
      <c r="J688" s="50"/>
    </row>
    <row r="689" spans="1:10">
      <c r="A689" s="41" t="s">
        <v>849</v>
      </c>
      <c r="B689" s="48" t="s">
        <v>270</v>
      </c>
      <c r="C689" s="135">
        <v>10</v>
      </c>
      <c r="D689" s="113" t="s">
        <v>651</v>
      </c>
      <c r="E689" s="52">
        <v>4</v>
      </c>
      <c r="F689" s="122" t="s">
        <v>824</v>
      </c>
      <c r="G689" s="49">
        <v>8</v>
      </c>
      <c r="H689" s="21">
        <f t="shared" si="43"/>
        <v>68</v>
      </c>
      <c r="I689" s="113" t="s">
        <v>652</v>
      </c>
      <c r="J689" s="50"/>
    </row>
    <row r="690" spans="1:10">
      <c r="A690" s="41" t="s">
        <v>849</v>
      </c>
      <c r="B690" s="48" t="s">
        <v>270</v>
      </c>
      <c r="C690" s="164">
        <v>11</v>
      </c>
      <c r="D690" s="113" t="s">
        <v>589</v>
      </c>
      <c r="E690" s="52">
        <v>0</v>
      </c>
      <c r="F690" s="122" t="s">
        <v>806</v>
      </c>
      <c r="G690" s="49">
        <v>15</v>
      </c>
      <c r="H690" s="21">
        <f t="shared" si="43"/>
        <v>83</v>
      </c>
      <c r="I690" s="113" t="s">
        <v>489</v>
      </c>
      <c r="J690" s="50"/>
    </row>
    <row r="691" spans="1:10">
      <c r="A691" s="41" t="s">
        <v>849</v>
      </c>
      <c r="B691" s="48" t="s">
        <v>270</v>
      </c>
      <c r="C691" s="135">
        <v>12</v>
      </c>
      <c r="D691" s="113" t="s">
        <v>565</v>
      </c>
      <c r="E691" s="52">
        <v>0</v>
      </c>
      <c r="F691" s="122" t="s">
        <v>806</v>
      </c>
      <c r="G691" s="49">
        <v>15</v>
      </c>
      <c r="H691" s="21">
        <f t="shared" si="43"/>
        <v>98</v>
      </c>
      <c r="I691" s="113" t="s">
        <v>489</v>
      </c>
      <c r="J691" s="50"/>
    </row>
    <row r="692" spans="1:10">
      <c r="A692" s="41" t="s">
        <v>849</v>
      </c>
      <c r="B692" s="48" t="s">
        <v>270</v>
      </c>
      <c r="C692" s="164">
        <v>13</v>
      </c>
      <c r="D692" s="113" t="s">
        <v>881</v>
      </c>
      <c r="E692" s="52">
        <v>0</v>
      </c>
      <c r="F692" s="109" t="s">
        <v>825</v>
      </c>
      <c r="G692" s="49">
        <v>11</v>
      </c>
      <c r="H692" s="21">
        <f t="shared" si="43"/>
        <v>109</v>
      </c>
      <c r="I692" s="113" t="s">
        <v>787</v>
      </c>
      <c r="J692" s="50"/>
    </row>
    <row r="693" spans="1:10">
      <c r="A693" s="41" t="s">
        <v>849</v>
      </c>
      <c r="B693" s="45" t="s">
        <v>270</v>
      </c>
      <c r="C693" s="146">
        <v>14</v>
      </c>
      <c r="D693" s="108" t="s">
        <v>39</v>
      </c>
      <c r="E693" s="39">
        <v>0</v>
      </c>
      <c r="F693" s="121" t="s">
        <v>825</v>
      </c>
      <c r="G693" s="114">
        <v>1</v>
      </c>
      <c r="H693" s="114">
        <f t="shared" si="43"/>
        <v>110</v>
      </c>
      <c r="I693" s="108" t="s">
        <v>544</v>
      </c>
      <c r="J693" s="114"/>
    </row>
    <row r="694" spans="1:10">
      <c r="A694" s="41" t="s">
        <v>925</v>
      </c>
      <c r="B694" s="44" t="s">
        <v>456</v>
      </c>
      <c r="C694" s="42">
        <v>1</v>
      </c>
      <c r="D694" s="111" t="s">
        <v>389</v>
      </c>
      <c r="E694" s="42">
        <v>0</v>
      </c>
      <c r="F694" s="120" t="s">
        <v>825</v>
      </c>
      <c r="G694" s="40">
        <v>2</v>
      </c>
      <c r="H694" s="40">
        <v>2</v>
      </c>
      <c r="I694" s="111" t="s">
        <v>121</v>
      </c>
      <c r="J694" s="40"/>
    </row>
    <row r="695" spans="1:10">
      <c r="A695" s="41" t="s">
        <v>628</v>
      </c>
      <c r="B695" s="48" t="s">
        <v>456</v>
      </c>
      <c r="C695" s="25">
        <v>2</v>
      </c>
      <c r="D695" s="113" t="s">
        <v>929</v>
      </c>
      <c r="E695" s="52">
        <v>0</v>
      </c>
      <c r="F695" s="160" t="s">
        <v>825</v>
      </c>
      <c r="G695" s="49">
        <v>3</v>
      </c>
      <c r="H695" s="21">
        <f t="shared" ref="H695:H711" si="44">H694+G695</f>
        <v>5</v>
      </c>
      <c r="I695" s="113" t="s">
        <v>1457</v>
      </c>
      <c r="J695" s="50"/>
    </row>
    <row r="696" spans="1:10">
      <c r="A696" s="41" t="s">
        <v>628</v>
      </c>
      <c r="B696" s="48" t="s">
        <v>456</v>
      </c>
      <c r="C696" s="164">
        <v>3</v>
      </c>
      <c r="D696" s="113" t="s">
        <v>741</v>
      </c>
      <c r="E696" s="52">
        <v>0</v>
      </c>
      <c r="F696" s="109" t="s">
        <v>825</v>
      </c>
      <c r="G696" s="49">
        <v>4</v>
      </c>
      <c r="H696" s="21">
        <f t="shared" si="44"/>
        <v>9</v>
      </c>
      <c r="I696" s="113" t="s">
        <v>500</v>
      </c>
      <c r="J696" s="50"/>
    </row>
    <row r="697" spans="1:10">
      <c r="A697" s="41" t="s">
        <v>628</v>
      </c>
      <c r="B697" s="48" t="s">
        <v>456</v>
      </c>
      <c r="C697" s="135">
        <v>4</v>
      </c>
      <c r="D697" s="113" t="s">
        <v>505</v>
      </c>
      <c r="E697" s="52">
        <v>0</v>
      </c>
      <c r="F697" s="122" t="s">
        <v>806</v>
      </c>
      <c r="G697" s="49">
        <v>6</v>
      </c>
      <c r="H697" s="21">
        <f t="shared" si="44"/>
        <v>15</v>
      </c>
      <c r="I697" s="113" t="s">
        <v>144</v>
      </c>
      <c r="J697" s="50"/>
    </row>
    <row r="698" spans="1:10">
      <c r="A698" s="41" t="s">
        <v>628</v>
      </c>
      <c r="B698" s="48" t="s">
        <v>456</v>
      </c>
      <c r="C698" s="164">
        <v>5</v>
      </c>
      <c r="D698" s="113" t="s">
        <v>506</v>
      </c>
      <c r="E698" s="52">
        <v>0</v>
      </c>
      <c r="F698" s="166" t="s">
        <v>825</v>
      </c>
      <c r="G698" s="49">
        <v>2</v>
      </c>
      <c r="H698" s="21">
        <f t="shared" si="44"/>
        <v>17</v>
      </c>
      <c r="I698" s="113" t="s">
        <v>809</v>
      </c>
      <c r="J698" s="50"/>
    </row>
    <row r="699" spans="1:10">
      <c r="A699" s="41" t="s">
        <v>628</v>
      </c>
      <c r="B699" s="48" t="s">
        <v>456</v>
      </c>
      <c r="C699" s="135">
        <v>6</v>
      </c>
      <c r="D699" s="113" t="s">
        <v>404</v>
      </c>
      <c r="E699" s="52">
        <v>0</v>
      </c>
      <c r="F699" s="122" t="s">
        <v>806</v>
      </c>
      <c r="G699" s="49">
        <v>6</v>
      </c>
      <c r="H699" s="21">
        <f t="shared" si="44"/>
        <v>23</v>
      </c>
      <c r="I699" s="113" t="s">
        <v>144</v>
      </c>
      <c r="J699" s="50"/>
    </row>
    <row r="700" spans="1:10">
      <c r="A700" s="41" t="s">
        <v>628</v>
      </c>
      <c r="B700" s="48" t="s">
        <v>456</v>
      </c>
      <c r="C700" s="164">
        <v>7</v>
      </c>
      <c r="D700" s="113" t="s">
        <v>568</v>
      </c>
      <c r="E700" s="52">
        <v>0</v>
      </c>
      <c r="F700" s="109" t="s">
        <v>825</v>
      </c>
      <c r="G700" s="49">
        <v>14</v>
      </c>
      <c r="H700" s="21">
        <f t="shared" si="44"/>
        <v>37</v>
      </c>
      <c r="I700" s="113" t="s">
        <v>359</v>
      </c>
      <c r="J700" s="50"/>
    </row>
    <row r="701" spans="1:10">
      <c r="A701" s="41" t="s">
        <v>628</v>
      </c>
      <c r="B701" s="48" t="s">
        <v>456</v>
      </c>
      <c r="C701" s="135">
        <v>8</v>
      </c>
      <c r="D701" s="113" t="s">
        <v>426</v>
      </c>
      <c r="E701" s="52">
        <v>0</v>
      </c>
      <c r="F701" s="109" t="s">
        <v>825</v>
      </c>
      <c r="G701" s="49">
        <v>3</v>
      </c>
      <c r="H701" s="21">
        <f t="shared" si="44"/>
        <v>40</v>
      </c>
      <c r="I701" s="113" t="s">
        <v>27</v>
      </c>
      <c r="J701" s="50"/>
    </row>
    <row r="702" spans="1:10">
      <c r="A702" s="41" t="s">
        <v>628</v>
      </c>
      <c r="B702" s="48" t="s">
        <v>456</v>
      </c>
      <c r="C702" s="164">
        <v>9</v>
      </c>
      <c r="D702" s="113" t="s">
        <v>461</v>
      </c>
      <c r="E702" s="52">
        <v>0</v>
      </c>
      <c r="F702" s="109" t="s">
        <v>825</v>
      </c>
      <c r="G702" s="49">
        <v>2</v>
      </c>
      <c r="H702" s="21">
        <f t="shared" si="44"/>
        <v>42</v>
      </c>
      <c r="I702" s="113" t="s">
        <v>322</v>
      </c>
      <c r="J702" s="50"/>
    </row>
    <row r="703" spans="1:10" ht="22.5">
      <c r="A703" s="41" t="s">
        <v>628</v>
      </c>
      <c r="B703" s="48" t="s">
        <v>456</v>
      </c>
      <c r="C703" s="135">
        <v>10</v>
      </c>
      <c r="D703" s="113" t="s">
        <v>419</v>
      </c>
      <c r="E703" s="52">
        <v>0</v>
      </c>
      <c r="F703" s="122" t="s">
        <v>806</v>
      </c>
      <c r="G703" s="49">
        <v>6</v>
      </c>
      <c r="H703" s="21">
        <f t="shared" si="44"/>
        <v>48</v>
      </c>
      <c r="I703" s="113" t="s">
        <v>0</v>
      </c>
      <c r="J703" s="50"/>
    </row>
    <row r="704" spans="1:10">
      <c r="A704" s="41" t="s">
        <v>628</v>
      </c>
      <c r="B704" s="48" t="s">
        <v>456</v>
      </c>
      <c r="C704" s="164">
        <v>11</v>
      </c>
      <c r="D704" s="113" t="s">
        <v>423</v>
      </c>
      <c r="E704" s="52">
        <v>0</v>
      </c>
      <c r="F704" s="109" t="s">
        <v>825</v>
      </c>
      <c r="G704" s="49">
        <v>8</v>
      </c>
      <c r="H704" s="21">
        <f t="shared" si="44"/>
        <v>56</v>
      </c>
      <c r="I704" s="113" t="s">
        <v>353</v>
      </c>
      <c r="J704" s="50"/>
    </row>
    <row r="705" spans="1:10">
      <c r="A705" s="41" t="s">
        <v>628</v>
      </c>
      <c r="B705" s="48" t="s">
        <v>456</v>
      </c>
      <c r="C705" s="135">
        <v>12</v>
      </c>
      <c r="D705" s="113" t="s">
        <v>421</v>
      </c>
      <c r="E705" s="52">
        <v>0</v>
      </c>
      <c r="F705" s="122" t="s">
        <v>806</v>
      </c>
      <c r="G705" s="49">
        <v>6</v>
      </c>
      <c r="H705" s="21">
        <f t="shared" si="44"/>
        <v>62</v>
      </c>
      <c r="I705" s="113" t="s">
        <v>729</v>
      </c>
      <c r="J705" s="50"/>
    </row>
    <row r="706" spans="1:10">
      <c r="A706" s="41" t="s">
        <v>628</v>
      </c>
      <c r="B706" s="48" t="s">
        <v>456</v>
      </c>
      <c r="C706" s="164">
        <v>13</v>
      </c>
      <c r="D706" s="113" t="s">
        <v>487</v>
      </c>
      <c r="E706" s="52">
        <v>0</v>
      </c>
      <c r="F706" s="109" t="s">
        <v>825</v>
      </c>
      <c r="G706" s="49">
        <v>10</v>
      </c>
      <c r="H706" s="21">
        <f t="shared" si="44"/>
        <v>72</v>
      </c>
      <c r="I706" s="113" t="s">
        <v>610</v>
      </c>
      <c r="J706" s="50"/>
    </row>
    <row r="707" spans="1:10">
      <c r="A707" s="41" t="s">
        <v>628</v>
      </c>
      <c r="B707" s="48" t="s">
        <v>456</v>
      </c>
      <c r="C707" s="135">
        <v>14</v>
      </c>
      <c r="D707" s="113" t="s">
        <v>488</v>
      </c>
      <c r="E707" s="52">
        <v>0</v>
      </c>
      <c r="F707" s="109" t="s">
        <v>825</v>
      </c>
      <c r="G707" s="49">
        <v>1</v>
      </c>
      <c r="H707" s="21">
        <f t="shared" si="44"/>
        <v>73</v>
      </c>
      <c r="I707" s="113" t="s">
        <v>687</v>
      </c>
      <c r="J707" s="50"/>
    </row>
    <row r="708" spans="1:10">
      <c r="A708" s="41" t="s">
        <v>628</v>
      </c>
      <c r="B708" s="48" t="s">
        <v>456</v>
      </c>
      <c r="C708" s="164">
        <v>15</v>
      </c>
      <c r="D708" s="113" t="s">
        <v>492</v>
      </c>
      <c r="E708" s="52">
        <v>0</v>
      </c>
      <c r="F708" s="109" t="s">
        <v>825</v>
      </c>
      <c r="G708" s="49">
        <v>1</v>
      </c>
      <c r="H708" s="21">
        <f t="shared" si="44"/>
        <v>74</v>
      </c>
      <c r="I708" s="113" t="s">
        <v>666</v>
      </c>
      <c r="J708" s="50"/>
    </row>
    <row r="709" spans="1:10">
      <c r="A709" s="41" t="s">
        <v>628</v>
      </c>
      <c r="B709" s="48" t="s">
        <v>456</v>
      </c>
      <c r="C709" s="135">
        <v>16</v>
      </c>
      <c r="D709" s="113" t="s">
        <v>513</v>
      </c>
      <c r="E709" s="52">
        <v>0</v>
      </c>
      <c r="F709" s="109" t="s">
        <v>825</v>
      </c>
      <c r="G709" s="49">
        <v>50</v>
      </c>
      <c r="H709" s="21">
        <f t="shared" si="44"/>
        <v>124</v>
      </c>
      <c r="I709" s="113" t="s">
        <v>144</v>
      </c>
      <c r="J709" s="50"/>
    </row>
    <row r="710" spans="1:10">
      <c r="A710" s="41" t="s">
        <v>628</v>
      </c>
      <c r="B710" s="48" t="s">
        <v>456</v>
      </c>
      <c r="C710" s="164">
        <v>17</v>
      </c>
      <c r="D710" s="113" t="s">
        <v>881</v>
      </c>
      <c r="E710" s="52">
        <v>0</v>
      </c>
      <c r="F710" s="109" t="s">
        <v>825</v>
      </c>
      <c r="G710" s="49">
        <v>255</v>
      </c>
      <c r="H710" s="21">
        <f t="shared" si="44"/>
        <v>379</v>
      </c>
      <c r="I710" s="113" t="s">
        <v>787</v>
      </c>
      <c r="J710" s="50"/>
    </row>
    <row r="711" spans="1:10">
      <c r="A711" s="41" t="s">
        <v>628</v>
      </c>
      <c r="B711" s="45" t="s">
        <v>456</v>
      </c>
      <c r="C711" s="146">
        <v>18</v>
      </c>
      <c r="D711" s="108" t="s">
        <v>39</v>
      </c>
      <c r="E711" s="39">
        <v>0</v>
      </c>
      <c r="F711" s="121" t="s">
        <v>825</v>
      </c>
      <c r="G711" s="114">
        <v>1</v>
      </c>
      <c r="H711" s="114">
        <f t="shared" si="44"/>
        <v>380</v>
      </c>
      <c r="I711" s="108" t="s">
        <v>544</v>
      </c>
      <c r="J711" s="114"/>
    </row>
    <row r="712" spans="1:10">
      <c r="A712" s="41" t="s">
        <v>926</v>
      </c>
      <c r="B712" s="44" t="s">
        <v>336</v>
      </c>
      <c r="C712" s="42">
        <v>1</v>
      </c>
      <c r="D712" s="111" t="s">
        <v>389</v>
      </c>
      <c r="E712" s="123">
        <v>0</v>
      </c>
      <c r="F712" s="120" t="s">
        <v>825</v>
      </c>
      <c r="G712" s="40">
        <v>2</v>
      </c>
      <c r="H712" s="40">
        <v>2</v>
      </c>
      <c r="I712" s="111" t="s">
        <v>121</v>
      </c>
      <c r="J712" s="40"/>
    </row>
    <row r="713" spans="1:10">
      <c r="A713" s="41" t="s">
        <v>617</v>
      </c>
      <c r="B713" s="48" t="s">
        <v>336</v>
      </c>
      <c r="C713" s="25">
        <v>2</v>
      </c>
      <c r="D713" s="113" t="s">
        <v>929</v>
      </c>
      <c r="E713" s="52">
        <v>0</v>
      </c>
      <c r="F713" s="160" t="s">
        <v>825</v>
      </c>
      <c r="G713" s="49">
        <v>3</v>
      </c>
      <c r="H713" s="21">
        <f t="shared" ref="H713:H748" si="45">H712+G713</f>
        <v>5</v>
      </c>
      <c r="I713" s="113" t="s">
        <v>1457</v>
      </c>
      <c r="J713" s="50"/>
    </row>
    <row r="714" spans="1:10">
      <c r="A714" s="41" t="s">
        <v>617</v>
      </c>
      <c r="B714" s="48" t="s">
        <v>336</v>
      </c>
      <c r="C714" s="164">
        <v>3</v>
      </c>
      <c r="D714" s="113" t="s">
        <v>741</v>
      </c>
      <c r="E714" s="52">
        <v>0</v>
      </c>
      <c r="F714" s="109" t="s">
        <v>825</v>
      </c>
      <c r="G714" s="49">
        <v>4</v>
      </c>
      <c r="H714" s="21">
        <f t="shared" si="45"/>
        <v>9</v>
      </c>
      <c r="I714" s="113" t="s">
        <v>500</v>
      </c>
      <c r="J714" s="50"/>
    </row>
    <row r="715" spans="1:10">
      <c r="A715" s="41" t="s">
        <v>617</v>
      </c>
      <c r="B715" s="48" t="s">
        <v>336</v>
      </c>
      <c r="C715" s="135">
        <v>4</v>
      </c>
      <c r="D715" s="113" t="s">
        <v>505</v>
      </c>
      <c r="E715" s="52">
        <v>0</v>
      </c>
      <c r="F715" s="122" t="s">
        <v>806</v>
      </c>
      <c r="G715" s="49">
        <v>6</v>
      </c>
      <c r="H715" s="21">
        <f t="shared" si="45"/>
        <v>15</v>
      </c>
      <c r="I715" s="113" t="s">
        <v>144</v>
      </c>
      <c r="J715" s="50"/>
    </row>
    <row r="716" spans="1:10">
      <c r="A716" s="41" t="s">
        <v>617</v>
      </c>
      <c r="B716" s="48" t="s">
        <v>336</v>
      </c>
      <c r="C716" s="164">
        <v>5</v>
      </c>
      <c r="D716" s="113" t="s">
        <v>506</v>
      </c>
      <c r="E716" s="52">
        <v>0</v>
      </c>
      <c r="F716" s="109" t="s">
        <v>825</v>
      </c>
      <c r="G716" s="49">
        <v>2</v>
      </c>
      <c r="H716" s="21">
        <f t="shared" si="45"/>
        <v>17</v>
      </c>
      <c r="I716" s="113" t="s">
        <v>809</v>
      </c>
      <c r="J716" s="50"/>
    </row>
    <row r="717" spans="1:10">
      <c r="A717" s="41" t="s">
        <v>617</v>
      </c>
      <c r="B717" s="48" t="s">
        <v>336</v>
      </c>
      <c r="C717" s="135">
        <v>6</v>
      </c>
      <c r="D717" s="113" t="s">
        <v>404</v>
      </c>
      <c r="E717" s="52">
        <v>0</v>
      </c>
      <c r="F717" s="122" t="s">
        <v>806</v>
      </c>
      <c r="G717" s="49">
        <v>6</v>
      </c>
      <c r="H717" s="21">
        <f t="shared" si="45"/>
        <v>23</v>
      </c>
      <c r="I717" s="113" t="s">
        <v>144</v>
      </c>
      <c r="J717" s="50"/>
    </row>
    <row r="718" spans="1:10">
      <c r="A718" s="41" t="s">
        <v>617</v>
      </c>
      <c r="B718" s="48" t="s">
        <v>336</v>
      </c>
      <c r="C718" s="164">
        <v>7</v>
      </c>
      <c r="D718" s="113" t="s">
        <v>568</v>
      </c>
      <c r="E718" s="52">
        <v>0</v>
      </c>
      <c r="F718" s="109" t="s">
        <v>825</v>
      </c>
      <c r="G718" s="49">
        <v>14</v>
      </c>
      <c r="H718" s="21">
        <f t="shared" si="45"/>
        <v>37</v>
      </c>
      <c r="I718" s="113" t="s">
        <v>359</v>
      </c>
      <c r="J718" s="50"/>
    </row>
    <row r="719" spans="1:10">
      <c r="A719" s="41" t="s">
        <v>617</v>
      </c>
      <c r="B719" s="48" t="s">
        <v>336</v>
      </c>
      <c r="C719" s="135">
        <v>8</v>
      </c>
      <c r="D719" s="113" t="s">
        <v>426</v>
      </c>
      <c r="E719" s="52">
        <v>0</v>
      </c>
      <c r="F719" s="109" t="s">
        <v>825</v>
      </c>
      <c r="G719" s="49">
        <v>3</v>
      </c>
      <c r="H719" s="21">
        <f t="shared" si="45"/>
        <v>40</v>
      </c>
      <c r="I719" s="113" t="s">
        <v>143</v>
      </c>
      <c r="J719" s="50"/>
    </row>
    <row r="720" spans="1:10">
      <c r="A720" s="41" t="s">
        <v>617</v>
      </c>
      <c r="B720" s="48" t="s">
        <v>336</v>
      </c>
      <c r="C720" s="164">
        <v>9</v>
      </c>
      <c r="D720" s="113" t="s">
        <v>461</v>
      </c>
      <c r="E720" s="52">
        <v>0</v>
      </c>
      <c r="F720" s="109" t="s">
        <v>825</v>
      </c>
      <c r="G720" s="49">
        <v>2</v>
      </c>
      <c r="H720" s="21">
        <f t="shared" si="45"/>
        <v>42</v>
      </c>
      <c r="I720" s="113" t="s">
        <v>322</v>
      </c>
      <c r="J720" s="50"/>
    </row>
    <row r="721" spans="1:10" ht="22.5">
      <c r="A721" s="41" t="s">
        <v>617</v>
      </c>
      <c r="B721" s="48" t="s">
        <v>336</v>
      </c>
      <c r="C721" s="135">
        <v>10</v>
      </c>
      <c r="D721" s="113" t="s">
        <v>419</v>
      </c>
      <c r="E721" s="52">
        <v>0</v>
      </c>
      <c r="F721" s="122" t="s">
        <v>806</v>
      </c>
      <c r="G721" s="49">
        <v>6</v>
      </c>
      <c r="H721" s="21">
        <f t="shared" si="45"/>
        <v>48</v>
      </c>
      <c r="I721" s="113" t="s">
        <v>0</v>
      </c>
      <c r="J721" s="50"/>
    </row>
    <row r="722" spans="1:10">
      <c r="A722" s="41" t="s">
        <v>617</v>
      </c>
      <c r="B722" s="48" t="s">
        <v>336</v>
      </c>
      <c r="C722" s="164">
        <v>11</v>
      </c>
      <c r="D722" s="113" t="s">
        <v>423</v>
      </c>
      <c r="E722" s="52">
        <v>0</v>
      </c>
      <c r="F722" s="109" t="s">
        <v>825</v>
      </c>
      <c r="G722" s="49">
        <v>8</v>
      </c>
      <c r="H722" s="21">
        <f t="shared" si="45"/>
        <v>56</v>
      </c>
      <c r="I722" s="113" t="s">
        <v>353</v>
      </c>
      <c r="J722" s="50"/>
    </row>
    <row r="723" spans="1:10">
      <c r="A723" s="41" t="s">
        <v>617</v>
      </c>
      <c r="B723" s="48" t="s">
        <v>336</v>
      </c>
      <c r="C723" s="135">
        <v>12</v>
      </c>
      <c r="D723" s="113" t="s">
        <v>943</v>
      </c>
      <c r="E723" s="52">
        <v>0</v>
      </c>
      <c r="F723" s="160" t="s">
        <v>825</v>
      </c>
      <c r="G723" s="49">
        <v>12</v>
      </c>
      <c r="H723" s="21">
        <f t="shared" si="45"/>
        <v>68</v>
      </c>
      <c r="I723" s="107" t="s">
        <v>563</v>
      </c>
      <c r="J723" s="50"/>
    </row>
    <row r="724" spans="1:10">
      <c r="A724" s="41" t="s">
        <v>617</v>
      </c>
      <c r="B724" s="48" t="s">
        <v>336</v>
      </c>
      <c r="C724" s="164">
        <v>13</v>
      </c>
      <c r="D724" s="113" t="s">
        <v>820</v>
      </c>
      <c r="E724" s="52">
        <v>0</v>
      </c>
      <c r="F724" s="109" t="s">
        <v>825</v>
      </c>
      <c r="G724" s="49">
        <v>1</v>
      </c>
      <c r="H724" s="21">
        <f t="shared" si="45"/>
        <v>69</v>
      </c>
      <c r="I724" s="113" t="s">
        <v>210</v>
      </c>
      <c r="J724" s="50"/>
    </row>
    <row r="725" spans="1:10" ht="22.5">
      <c r="A725" s="41" t="s">
        <v>617</v>
      </c>
      <c r="B725" s="48" t="s">
        <v>336</v>
      </c>
      <c r="C725" s="135">
        <v>14</v>
      </c>
      <c r="D725" s="113" t="s">
        <v>491</v>
      </c>
      <c r="E725" s="52">
        <v>0</v>
      </c>
      <c r="F725" s="109" t="s">
        <v>825</v>
      </c>
      <c r="G725" s="49">
        <v>1</v>
      </c>
      <c r="H725" s="21">
        <f t="shared" si="45"/>
        <v>70</v>
      </c>
      <c r="I725" s="113" t="s">
        <v>227</v>
      </c>
      <c r="J725" s="50"/>
    </row>
    <row r="726" spans="1:10">
      <c r="A726" s="41" t="s">
        <v>617</v>
      </c>
      <c r="B726" s="48" t="s">
        <v>336</v>
      </c>
      <c r="C726" s="164">
        <v>15</v>
      </c>
      <c r="D726" s="113" t="s">
        <v>399</v>
      </c>
      <c r="E726" s="52">
        <v>0</v>
      </c>
      <c r="F726" s="109" t="s">
        <v>825</v>
      </c>
      <c r="G726" s="49">
        <v>8</v>
      </c>
      <c r="H726" s="21">
        <f t="shared" si="45"/>
        <v>78</v>
      </c>
      <c r="I726" s="113" t="s">
        <v>353</v>
      </c>
      <c r="J726" s="50"/>
    </row>
    <row r="727" spans="1:10">
      <c r="A727" s="41" t="s">
        <v>617</v>
      </c>
      <c r="B727" s="48" t="s">
        <v>336</v>
      </c>
      <c r="C727" s="135">
        <v>16</v>
      </c>
      <c r="D727" s="113" t="s">
        <v>495</v>
      </c>
      <c r="E727" s="52">
        <v>0</v>
      </c>
      <c r="F727" s="109" t="s">
        <v>825</v>
      </c>
      <c r="G727" s="49">
        <v>10</v>
      </c>
      <c r="H727" s="21">
        <f t="shared" si="45"/>
        <v>88</v>
      </c>
      <c r="I727" s="113" t="s">
        <v>610</v>
      </c>
      <c r="J727" s="50"/>
    </row>
    <row r="728" spans="1:10">
      <c r="A728" s="41" t="s">
        <v>617</v>
      </c>
      <c r="B728" s="48" t="s">
        <v>336</v>
      </c>
      <c r="C728" s="164">
        <v>17</v>
      </c>
      <c r="D728" s="113" t="s">
        <v>516</v>
      </c>
      <c r="E728" s="52">
        <v>3</v>
      </c>
      <c r="F728" s="122" t="s">
        <v>824</v>
      </c>
      <c r="G728" s="49">
        <v>5</v>
      </c>
      <c r="H728" s="21">
        <f t="shared" si="45"/>
        <v>93</v>
      </c>
      <c r="I728" s="113" t="s">
        <v>792</v>
      </c>
      <c r="J728" s="50"/>
    </row>
    <row r="729" spans="1:10">
      <c r="A729" s="41" t="s">
        <v>617</v>
      </c>
      <c r="B729" s="48" t="s">
        <v>336</v>
      </c>
      <c r="C729" s="135">
        <v>18</v>
      </c>
      <c r="D729" s="113" t="s">
        <v>412</v>
      </c>
      <c r="E729" s="52">
        <v>0</v>
      </c>
      <c r="F729" s="122" t="s">
        <v>806</v>
      </c>
      <c r="G729" s="49">
        <v>7</v>
      </c>
      <c r="H729" s="21">
        <f t="shared" si="45"/>
        <v>100</v>
      </c>
      <c r="I729" s="113" t="s">
        <v>144</v>
      </c>
      <c r="J729" s="50"/>
    </row>
    <row r="730" spans="1:10">
      <c r="A730" s="41" t="s">
        <v>617</v>
      </c>
      <c r="B730" s="48" t="s">
        <v>336</v>
      </c>
      <c r="C730" s="164">
        <v>19</v>
      </c>
      <c r="D730" s="113" t="s">
        <v>683</v>
      </c>
      <c r="E730" s="52">
        <v>4</v>
      </c>
      <c r="F730" s="122" t="s">
        <v>824</v>
      </c>
      <c r="G730" s="49">
        <v>5</v>
      </c>
      <c r="H730" s="21">
        <f t="shared" si="45"/>
        <v>105</v>
      </c>
      <c r="I730" s="113" t="s">
        <v>792</v>
      </c>
      <c r="J730" s="50"/>
    </row>
    <row r="731" spans="1:10">
      <c r="A731" s="41" t="s">
        <v>617</v>
      </c>
      <c r="B731" s="48" t="s">
        <v>336</v>
      </c>
      <c r="C731" s="135">
        <v>20</v>
      </c>
      <c r="D731" s="113" t="s">
        <v>668</v>
      </c>
      <c r="E731" s="52">
        <v>0</v>
      </c>
      <c r="F731" s="122" t="s">
        <v>806</v>
      </c>
      <c r="G731" s="49">
        <v>7</v>
      </c>
      <c r="H731" s="21">
        <f t="shared" si="45"/>
        <v>112</v>
      </c>
      <c r="I731" s="113" t="s">
        <v>144</v>
      </c>
      <c r="J731" s="50"/>
    </row>
    <row r="732" spans="1:10">
      <c r="A732" s="41" t="s">
        <v>617</v>
      </c>
      <c r="B732" s="48" t="s">
        <v>336</v>
      </c>
      <c r="C732" s="164">
        <v>21</v>
      </c>
      <c r="D732" s="113" t="s">
        <v>431</v>
      </c>
      <c r="E732" s="52">
        <v>3</v>
      </c>
      <c r="F732" s="122" t="s">
        <v>824</v>
      </c>
      <c r="G732" s="49">
        <v>5</v>
      </c>
      <c r="H732" s="21">
        <f t="shared" si="45"/>
        <v>117</v>
      </c>
      <c r="I732" s="113" t="s">
        <v>792</v>
      </c>
      <c r="J732" s="50"/>
    </row>
    <row r="733" spans="1:10">
      <c r="A733" s="41" t="s">
        <v>617</v>
      </c>
      <c r="B733" s="48" t="s">
        <v>336</v>
      </c>
      <c r="C733" s="135">
        <v>22</v>
      </c>
      <c r="D733" s="113" t="s">
        <v>348</v>
      </c>
      <c r="E733" s="52">
        <v>0</v>
      </c>
      <c r="F733" s="122" t="s">
        <v>806</v>
      </c>
      <c r="G733" s="49">
        <v>7</v>
      </c>
      <c r="H733" s="21">
        <f t="shared" si="45"/>
        <v>124</v>
      </c>
      <c r="I733" s="113" t="s">
        <v>144</v>
      </c>
      <c r="J733" s="50"/>
    </row>
    <row r="734" spans="1:10">
      <c r="A734" s="41" t="s">
        <v>617</v>
      </c>
      <c r="B734" s="48" t="s">
        <v>336</v>
      </c>
      <c r="C734" s="164">
        <v>23</v>
      </c>
      <c r="D734" s="113" t="s">
        <v>908</v>
      </c>
      <c r="E734" s="52">
        <v>3</v>
      </c>
      <c r="F734" s="122" t="s">
        <v>824</v>
      </c>
      <c r="G734" s="49">
        <v>5</v>
      </c>
      <c r="H734" s="21">
        <f t="shared" si="45"/>
        <v>129</v>
      </c>
      <c r="I734" s="113" t="s">
        <v>792</v>
      </c>
      <c r="J734" s="50"/>
    </row>
    <row r="735" spans="1:10">
      <c r="A735" s="41" t="s">
        <v>617</v>
      </c>
      <c r="B735" s="48" t="s">
        <v>336</v>
      </c>
      <c r="C735" s="135">
        <v>24</v>
      </c>
      <c r="D735" s="113" t="s">
        <v>498</v>
      </c>
      <c r="E735" s="52">
        <v>0</v>
      </c>
      <c r="F735" s="122" t="s">
        <v>806</v>
      </c>
      <c r="G735" s="49">
        <v>7</v>
      </c>
      <c r="H735" s="21">
        <f t="shared" si="45"/>
        <v>136</v>
      </c>
      <c r="I735" s="113" t="s">
        <v>144</v>
      </c>
      <c r="J735" s="50"/>
    </row>
    <row r="736" spans="1:10">
      <c r="A736" s="41" t="s">
        <v>617</v>
      </c>
      <c r="B736" s="48" t="s">
        <v>336</v>
      </c>
      <c r="C736" s="164">
        <v>25</v>
      </c>
      <c r="D736" s="113" t="s">
        <v>515</v>
      </c>
      <c r="E736" s="52">
        <v>0</v>
      </c>
      <c r="F736" s="122" t="s">
        <v>806</v>
      </c>
      <c r="G736" s="49">
        <v>15</v>
      </c>
      <c r="H736" s="21">
        <f t="shared" si="45"/>
        <v>151</v>
      </c>
      <c r="I736" s="113" t="s">
        <v>144</v>
      </c>
      <c r="J736" s="50"/>
    </row>
    <row r="737" spans="1:10">
      <c r="A737" s="41" t="s">
        <v>617</v>
      </c>
      <c r="B737" s="48" t="s">
        <v>336</v>
      </c>
      <c r="C737" s="135">
        <v>26</v>
      </c>
      <c r="D737" s="113" t="s">
        <v>514</v>
      </c>
      <c r="E737" s="52">
        <v>3</v>
      </c>
      <c r="F737" s="122" t="s">
        <v>824</v>
      </c>
      <c r="G737" s="49">
        <v>5</v>
      </c>
      <c r="H737" s="21">
        <f t="shared" si="45"/>
        <v>156</v>
      </c>
      <c r="I737" s="113" t="s">
        <v>792</v>
      </c>
      <c r="J737" s="50"/>
    </row>
    <row r="738" spans="1:10">
      <c r="A738" s="41" t="s">
        <v>617</v>
      </c>
      <c r="B738" s="48" t="s">
        <v>336</v>
      </c>
      <c r="C738" s="164">
        <v>27</v>
      </c>
      <c r="D738" s="113" t="s">
        <v>747</v>
      </c>
      <c r="E738" s="52">
        <v>0</v>
      </c>
      <c r="F738" s="122" t="s">
        <v>806</v>
      </c>
      <c r="G738" s="49">
        <v>7</v>
      </c>
      <c r="H738" s="21">
        <f t="shared" si="45"/>
        <v>163</v>
      </c>
      <c r="I738" s="113" t="s">
        <v>144</v>
      </c>
      <c r="J738" s="50"/>
    </row>
    <row r="739" spans="1:10">
      <c r="A739" s="41" t="s">
        <v>617</v>
      </c>
      <c r="B739" s="48" t="s">
        <v>336</v>
      </c>
      <c r="C739" s="135">
        <v>28</v>
      </c>
      <c r="D739" s="113" t="s">
        <v>517</v>
      </c>
      <c r="E739" s="52">
        <v>0</v>
      </c>
      <c r="F739" s="122" t="s">
        <v>806</v>
      </c>
      <c r="G739" s="49">
        <v>18</v>
      </c>
      <c r="H739" s="21">
        <f t="shared" si="45"/>
        <v>181</v>
      </c>
      <c r="I739" s="113" t="s">
        <v>144</v>
      </c>
      <c r="J739" s="50"/>
    </row>
    <row r="740" spans="1:10">
      <c r="A740" s="41" t="s">
        <v>617</v>
      </c>
      <c r="B740" s="48" t="s">
        <v>336</v>
      </c>
      <c r="C740" s="164">
        <v>29</v>
      </c>
      <c r="D740" s="113" t="s">
        <v>416</v>
      </c>
      <c r="E740" s="52">
        <v>3</v>
      </c>
      <c r="F740" s="122" t="s">
        <v>824</v>
      </c>
      <c r="G740" s="49">
        <v>5</v>
      </c>
      <c r="H740" s="21">
        <f t="shared" si="45"/>
        <v>186</v>
      </c>
      <c r="I740" s="113" t="s">
        <v>792</v>
      </c>
      <c r="J740" s="50"/>
    </row>
    <row r="741" spans="1:10">
      <c r="A741" s="41" t="s">
        <v>617</v>
      </c>
      <c r="B741" s="48" t="s">
        <v>336</v>
      </c>
      <c r="C741" s="135">
        <v>30</v>
      </c>
      <c r="D741" s="113" t="s">
        <v>691</v>
      </c>
      <c r="E741" s="52">
        <v>0</v>
      </c>
      <c r="F741" s="122" t="s">
        <v>806</v>
      </c>
      <c r="G741" s="49">
        <v>7</v>
      </c>
      <c r="H741" s="21">
        <f t="shared" si="45"/>
        <v>193</v>
      </c>
      <c r="I741" s="113" t="s">
        <v>144</v>
      </c>
      <c r="J741" s="50"/>
    </row>
    <row r="742" spans="1:10">
      <c r="A742" s="41" t="s">
        <v>617</v>
      </c>
      <c r="B742" s="48" t="s">
        <v>336</v>
      </c>
      <c r="C742" s="164">
        <v>31</v>
      </c>
      <c r="D742" s="113" t="s">
        <v>397</v>
      </c>
      <c r="E742" s="52">
        <v>3</v>
      </c>
      <c r="F742" s="122" t="s">
        <v>824</v>
      </c>
      <c r="G742" s="49">
        <v>5</v>
      </c>
      <c r="H742" s="21">
        <f t="shared" si="45"/>
        <v>198</v>
      </c>
      <c r="I742" s="113" t="s">
        <v>792</v>
      </c>
      <c r="J742" s="50"/>
    </row>
    <row r="743" spans="1:10">
      <c r="A743" s="41" t="s">
        <v>617</v>
      </c>
      <c r="B743" s="48" t="s">
        <v>336</v>
      </c>
      <c r="C743" s="135">
        <v>32</v>
      </c>
      <c r="D743" s="113" t="s">
        <v>507</v>
      </c>
      <c r="E743" s="52">
        <v>0</v>
      </c>
      <c r="F743" s="122" t="s">
        <v>806</v>
      </c>
      <c r="G743" s="49">
        <v>7</v>
      </c>
      <c r="H743" s="21">
        <f t="shared" si="45"/>
        <v>205</v>
      </c>
      <c r="I743" s="113" t="s">
        <v>144</v>
      </c>
      <c r="J743" s="50"/>
    </row>
    <row r="744" spans="1:10">
      <c r="A744" s="41" t="s">
        <v>617</v>
      </c>
      <c r="B744" s="48" t="s">
        <v>336</v>
      </c>
      <c r="C744" s="164">
        <v>33</v>
      </c>
      <c r="D744" s="113" t="s">
        <v>439</v>
      </c>
      <c r="E744" s="52">
        <v>0</v>
      </c>
      <c r="F744" s="122" t="s">
        <v>806</v>
      </c>
      <c r="G744" s="49">
        <v>4</v>
      </c>
      <c r="H744" s="21">
        <f t="shared" si="45"/>
        <v>209</v>
      </c>
      <c r="I744" s="113" t="s">
        <v>144</v>
      </c>
      <c r="J744" s="50"/>
    </row>
    <row r="745" spans="1:10">
      <c r="A745" s="41" t="s">
        <v>617</v>
      </c>
      <c r="B745" s="48" t="s">
        <v>336</v>
      </c>
      <c r="C745" s="135">
        <v>34</v>
      </c>
      <c r="D745" s="113" t="s">
        <v>772</v>
      </c>
      <c r="E745" s="52">
        <v>0</v>
      </c>
      <c r="F745" s="122" t="s">
        <v>806</v>
      </c>
      <c r="G745" s="49">
        <v>15</v>
      </c>
      <c r="H745" s="21">
        <f t="shared" si="45"/>
        <v>224</v>
      </c>
      <c r="I745" s="113" t="s">
        <v>144</v>
      </c>
      <c r="J745" s="50"/>
    </row>
    <row r="746" spans="1:10">
      <c r="A746" s="41" t="s">
        <v>617</v>
      </c>
      <c r="B746" s="48" t="s">
        <v>336</v>
      </c>
      <c r="C746" s="164">
        <v>35</v>
      </c>
      <c r="D746" s="113" t="s">
        <v>744</v>
      </c>
      <c r="E746" s="52">
        <v>0</v>
      </c>
      <c r="F746" s="122" t="s">
        <v>806</v>
      </c>
      <c r="G746" s="49">
        <v>18</v>
      </c>
      <c r="H746" s="21">
        <f t="shared" si="45"/>
        <v>242</v>
      </c>
      <c r="I746" s="113" t="s">
        <v>144</v>
      </c>
      <c r="J746" s="50"/>
    </row>
    <row r="747" spans="1:10">
      <c r="A747" s="41" t="s">
        <v>617</v>
      </c>
      <c r="B747" s="48" t="s">
        <v>336</v>
      </c>
      <c r="C747" s="135">
        <v>36</v>
      </c>
      <c r="D747" s="113" t="s">
        <v>881</v>
      </c>
      <c r="E747" s="52">
        <v>0</v>
      </c>
      <c r="F747" s="109" t="s">
        <v>825</v>
      </c>
      <c r="G747" s="49">
        <v>137</v>
      </c>
      <c r="H747" s="21">
        <f t="shared" si="45"/>
        <v>379</v>
      </c>
      <c r="I747" s="113" t="s">
        <v>787</v>
      </c>
      <c r="J747" s="50"/>
    </row>
    <row r="748" spans="1:10">
      <c r="A748" s="41" t="s">
        <v>617</v>
      </c>
      <c r="B748" s="45" t="s">
        <v>336</v>
      </c>
      <c r="C748" s="165">
        <v>37</v>
      </c>
      <c r="D748" s="108" t="s">
        <v>39</v>
      </c>
      <c r="E748" s="51">
        <v>0</v>
      </c>
      <c r="F748" s="121" t="s">
        <v>825</v>
      </c>
      <c r="G748" s="114">
        <v>1</v>
      </c>
      <c r="H748" s="114">
        <f t="shared" si="45"/>
        <v>380</v>
      </c>
      <c r="I748" s="108" t="s">
        <v>544</v>
      </c>
      <c r="J748" s="114"/>
    </row>
    <row r="749" spans="1:10">
      <c r="A749" s="41" t="s">
        <v>606</v>
      </c>
      <c r="B749" s="44" t="s">
        <v>699</v>
      </c>
      <c r="C749" s="42">
        <v>1</v>
      </c>
      <c r="D749" s="111" t="s">
        <v>389</v>
      </c>
      <c r="E749" s="123">
        <v>0</v>
      </c>
      <c r="F749" s="120" t="s">
        <v>825</v>
      </c>
      <c r="G749" s="40">
        <v>2</v>
      </c>
      <c r="H749" s="40">
        <v>2</v>
      </c>
      <c r="I749" s="111" t="s">
        <v>121</v>
      </c>
      <c r="J749" s="40"/>
    </row>
    <row r="750" spans="1:10">
      <c r="A750" s="41" t="s">
        <v>606</v>
      </c>
      <c r="B750" s="48" t="s">
        <v>699</v>
      </c>
      <c r="C750" s="25">
        <v>2</v>
      </c>
      <c r="D750" s="113" t="s">
        <v>929</v>
      </c>
      <c r="E750" s="52">
        <v>0</v>
      </c>
      <c r="F750" s="160" t="s">
        <v>825</v>
      </c>
      <c r="G750" s="49">
        <v>3</v>
      </c>
      <c r="H750" s="21">
        <f t="shared" ref="H750:H795" si="46">H749+G750</f>
        <v>5</v>
      </c>
      <c r="I750" s="113" t="s">
        <v>1458</v>
      </c>
      <c r="J750" s="50"/>
    </row>
    <row r="751" spans="1:10">
      <c r="A751" s="41" t="s">
        <v>606</v>
      </c>
      <c r="B751" s="48" t="s">
        <v>699</v>
      </c>
      <c r="C751" s="164">
        <v>3</v>
      </c>
      <c r="D751" s="113" t="s">
        <v>741</v>
      </c>
      <c r="E751" s="52">
        <v>0</v>
      </c>
      <c r="F751" s="109" t="s">
        <v>825</v>
      </c>
      <c r="G751" s="49">
        <v>4</v>
      </c>
      <c r="H751" s="21">
        <f t="shared" si="46"/>
        <v>9</v>
      </c>
      <c r="I751" s="113" t="s">
        <v>500</v>
      </c>
      <c r="J751" s="50"/>
    </row>
    <row r="752" spans="1:10">
      <c r="A752" s="41" t="s">
        <v>606</v>
      </c>
      <c r="B752" s="48" t="s">
        <v>699</v>
      </c>
      <c r="C752" s="135">
        <v>4</v>
      </c>
      <c r="D752" s="113" t="s">
        <v>505</v>
      </c>
      <c r="E752" s="52">
        <v>0</v>
      </c>
      <c r="F752" s="122" t="s">
        <v>806</v>
      </c>
      <c r="G752" s="49">
        <v>6</v>
      </c>
      <c r="H752" s="21">
        <f t="shared" si="46"/>
        <v>15</v>
      </c>
      <c r="I752" s="113" t="s">
        <v>144</v>
      </c>
      <c r="J752" s="50"/>
    </row>
    <row r="753" spans="1:10">
      <c r="A753" s="41" t="s">
        <v>606</v>
      </c>
      <c r="B753" s="48" t="s">
        <v>699</v>
      </c>
      <c r="C753" s="164">
        <v>5</v>
      </c>
      <c r="D753" s="113" t="s">
        <v>506</v>
      </c>
      <c r="E753" s="52">
        <v>0</v>
      </c>
      <c r="F753" s="109" t="s">
        <v>825</v>
      </c>
      <c r="G753" s="49">
        <v>2</v>
      </c>
      <c r="H753" s="21">
        <f t="shared" si="46"/>
        <v>17</v>
      </c>
      <c r="I753" s="113" t="s">
        <v>809</v>
      </c>
      <c r="J753" s="50"/>
    </row>
    <row r="754" spans="1:10">
      <c r="A754" s="41" t="s">
        <v>606</v>
      </c>
      <c r="B754" s="48" t="s">
        <v>699</v>
      </c>
      <c r="C754" s="164">
        <v>6</v>
      </c>
      <c r="D754" s="113" t="s">
        <v>404</v>
      </c>
      <c r="E754" s="52">
        <v>0</v>
      </c>
      <c r="F754" s="122" t="s">
        <v>806</v>
      </c>
      <c r="G754" s="49">
        <v>6</v>
      </c>
      <c r="H754" s="21">
        <f t="shared" si="46"/>
        <v>23</v>
      </c>
      <c r="I754" s="113" t="s">
        <v>144</v>
      </c>
      <c r="J754" s="50"/>
    </row>
    <row r="755" spans="1:10">
      <c r="A755" s="41" t="s">
        <v>606</v>
      </c>
      <c r="B755" s="48" t="s">
        <v>699</v>
      </c>
      <c r="C755" s="135">
        <v>7</v>
      </c>
      <c r="D755" s="113" t="s">
        <v>568</v>
      </c>
      <c r="E755" s="52">
        <v>0</v>
      </c>
      <c r="F755" s="109" t="s">
        <v>825</v>
      </c>
      <c r="G755" s="49">
        <v>14</v>
      </c>
      <c r="H755" s="21">
        <f t="shared" si="46"/>
        <v>37</v>
      </c>
      <c r="I755" s="113" t="s">
        <v>359</v>
      </c>
      <c r="J755" s="50"/>
    </row>
    <row r="756" spans="1:10">
      <c r="A756" s="41" t="s">
        <v>606</v>
      </c>
      <c r="B756" s="48" t="s">
        <v>699</v>
      </c>
      <c r="C756" s="164">
        <v>8</v>
      </c>
      <c r="D756" s="113" t="s">
        <v>426</v>
      </c>
      <c r="E756" s="52">
        <v>0</v>
      </c>
      <c r="F756" s="109" t="s">
        <v>825</v>
      </c>
      <c r="G756" s="49">
        <v>3</v>
      </c>
      <c r="H756" s="21">
        <f t="shared" si="46"/>
        <v>40</v>
      </c>
      <c r="I756" s="113" t="s">
        <v>147</v>
      </c>
      <c r="J756" s="50"/>
    </row>
    <row r="757" spans="1:10">
      <c r="A757" s="41" t="s">
        <v>606</v>
      </c>
      <c r="B757" s="48" t="s">
        <v>699</v>
      </c>
      <c r="C757" s="164">
        <v>9</v>
      </c>
      <c r="D757" s="113" t="s">
        <v>461</v>
      </c>
      <c r="E757" s="52">
        <v>0</v>
      </c>
      <c r="F757" s="109" t="s">
        <v>825</v>
      </c>
      <c r="G757" s="49">
        <v>2</v>
      </c>
      <c r="H757" s="21">
        <f t="shared" si="46"/>
        <v>42</v>
      </c>
      <c r="I757" s="113" t="s">
        <v>322</v>
      </c>
      <c r="J757" s="50"/>
    </row>
    <row r="758" spans="1:10" ht="22.5">
      <c r="A758" s="41" t="s">
        <v>606</v>
      </c>
      <c r="B758" s="48" t="s">
        <v>699</v>
      </c>
      <c r="C758" s="135">
        <v>10</v>
      </c>
      <c r="D758" s="113" t="s">
        <v>419</v>
      </c>
      <c r="E758" s="52">
        <v>0</v>
      </c>
      <c r="F758" s="122" t="s">
        <v>806</v>
      </c>
      <c r="G758" s="49">
        <v>6</v>
      </c>
      <c r="H758" s="21">
        <f t="shared" si="46"/>
        <v>48</v>
      </c>
      <c r="I758" s="113" t="s">
        <v>0</v>
      </c>
      <c r="J758" s="50"/>
    </row>
    <row r="759" spans="1:10">
      <c r="A759" s="41" t="s">
        <v>606</v>
      </c>
      <c r="B759" s="48" t="s">
        <v>699</v>
      </c>
      <c r="C759" s="164">
        <v>11</v>
      </c>
      <c r="D759" s="113" t="s">
        <v>423</v>
      </c>
      <c r="E759" s="52">
        <v>0</v>
      </c>
      <c r="F759" s="160" t="s">
        <v>825</v>
      </c>
      <c r="G759" s="49">
        <v>8</v>
      </c>
      <c r="H759" s="21">
        <f t="shared" si="46"/>
        <v>56</v>
      </c>
      <c r="I759" s="113" t="s">
        <v>353</v>
      </c>
      <c r="J759" s="50"/>
    </row>
    <row r="760" spans="1:10">
      <c r="A760" s="41" t="s">
        <v>606</v>
      </c>
      <c r="B760" s="48" t="s">
        <v>699</v>
      </c>
      <c r="C760" s="164">
        <v>12</v>
      </c>
      <c r="D760" s="113" t="s">
        <v>837</v>
      </c>
      <c r="E760" s="52">
        <v>0</v>
      </c>
      <c r="F760" s="160" t="s">
        <v>825</v>
      </c>
      <c r="G760" s="49">
        <v>12</v>
      </c>
      <c r="H760" s="21">
        <f t="shared" si="46"/>
        <v>68</v>
      </c>
      <c r="I760" s="107" t="s">
        <v>940</v>
      </c>
      <c r="J760" s="50"/>
    </row>
    <row r="761" spans="1:10" ht="22.5">
      <c r="A761" s="41" t="s">
        <v>606</v>
      </c>
      <c r="B761" s="48" t="s">
        <v>699</v>
      </c>
      <c r="C761" s="135">
        <v>13</v>
      </c>
      <c r="D761" s="113" t="s">
        <v>491</v>
      </c>
      <c r="E761" s="52">
        <v>0</v>
      </c>
      <c r="F761" s="109" t="s">
        <v>825</v>
      </c>
      <c r="G761" s="49">
        <v>1</v>
      </c>
      <c r="H761" s="21">
        <f t="shared" si="46"/>
        <v>69</v>
      </c>
      <c r="I761" s="113" t="s">
        <v>227</v>
      </c>
      <c r="J761" s="50"/>
    </row>
    <row r="762" spans="1:10">
      <c r="A762" s="41" t="s">
        <v>606</v>
      </c>
      <c r="B762" s="48" t="s">
        <v>699</v>
      </c>
      <c r="C762" s="164">
        <v>14</v>
      </c>
      <c r="D762" s="113" t="s">
        <v>657</v>
      </c>
      <c r="E762" s="52">
        <v>0</v>
      </c>
      <c r="F762" s="109" t="s">
        <v>825</v>
      </c>
      <c r="G762" s="49">
        <v>7</v>
      </c>
      <c r="H762" s="21">
        <f t="shared" si="46"/>
        <v>76</v>
      </c>
      <c r="I762" s="113" t="s">
        <v>787</v>
      </c>
      <c r="J762" s="50"/>
    </row>
    <row r="763" spans="1:10">
      <c r="A763" s="41" t="s">
        <v>606</v>
      </c>
      <c r="B763" s="48" t="s">
        <v>699</v>
      </c>
      <c r="C763" s="164">
        <v>15</v>
      </c>
      <c r="D763" s="113" t="s">
        <v>508</v>
      </c>
      <c r="E763" s="52">
        <v>3</v>
      </c>
      <c r="F763" s="122" t="s">
        <v>824</v>
      </c>
      <c r="G763" s="49">
        <v>5</v>
      </c>
      <c r="H763" s="21">
        <f t="shared" si="46"/>
        <v>81</v>
      </c>
      <c r="I763" s="113" t="s">
        <v>792</v>
      </c>
      <c r="J763" s="50"/>
    </row>
    <row r="764" spans="1:10">
      <c r="A764" s="41" t="s">
        <v>606</v>
      </c>
      <c r="B764" s="48" t="s">
        <v>699</v>
      </c>
      <c r="C764" s="135">
        <v>16</v>
      </c>
      <c r="D764" s="113" t="s">
        <v>774</v>
      </c>
      <c r="E764" s="52">
        <v>0</v>
      </c>
      <c r="F764" s="122" t="s">
        <v>806</v>
      </c>
      <c r="G764" s="49">
        <v>15</v>
      </c>
      <c r="H764" s="21">
        <f t="shared" si="46"/>
        <v>96</v>
      </c>
      <c r="I764" s="113" t="s">
        <v>670</v>
      </c>
      <c r="J764" s="50"/>
    </row>
    <row r="765" spans="1:10">
      <c r="A765" s="41" t="s">
        <v>606</v>
      </c>
      <c r="B765" s="48" t="s">
        <v>699</v>
      </c>
      <c r="C765" s="164">
        <v>17</v>
      </c>
      <c r="D765" s="113" t="s">
        <v>662</v>
      </c>
      <c r="E765" s="52">
        <v>0</v>
      </c>
      <c r="F765" s="109" t="s">
        <v>825</v>
      </c>
      <c r="G765" s="49">
        <v>7</v>
      </c>
      <c r="H765" s="21">
        <f t="shared" si="46"/>
        <v>103</v>
      </c>
      <c r="I765" s="113" t="s">
        <v>787</v>
      </c>
      <c r="J765" s="50"/>
    </row>
    <row r="766" spans="1:10">
      <c r="A766" s="41" t="s">
        <v>606</v>
      </c>
      <c r="B766" s="48" t="s">
        <v>699</v>
      </c>
      <c r="C766" s="164">
        <v>18</v>
      </c>
      <c r="D766" s="113" t="s">
        <v>497</v>
      </c>
      <c r="E766" s="52">
        <v>3</v>
      </c>
      <c r="F766" s="122" t="s">
        <v>824</v>
      </c>
      <c r="G766" s="49">
        <v>5</v>
      </c>
      <c r="H766" s="21">
        <f t="shared" si="46"/>
        <v>108</v>
      </c>
      <c r="I766" s="113" t="s">
        <v>792</v>
      </c>
      <c r="J766" s="50"/>
    </row>
    <row r="767" spans="1:10">
      <c r="A767" s="41" t="s">
        <v>606</v>
      </c>
      <c r="B767" s="48" t="s">
        <v>699</v>
      </c>
      <c r="C767" s="135">
        <v>19</v>
      </c>
      <c r="D767" s="113" t="s">
        <v>746</v>
      </c>
      <c r="E767" s="52">
        <v>0</v>
      </c>
      <c r="F767" s="122" t="s">
        <v>806</v>
      </c>
      <c r="G767" s="49">
        <v>15</v>
      </c>
      <c r="H767" s="21">
        <f t="shared" si="46"/>
        <v>123</v>
      </c>
      <c r="I767" s="113" t="s">
        <v>670</v>
      </c>
      <c r="J767" s="50"/>
    </row>
    <row r="768" spans="1:10">
      <c r="A768" s="41" t="s">
        <v>606</v>
      </c>
      <c r="B768" s="48" t="s">
        <v>699</v>
      </c>
      <c r="C768" s="164">
        <v>20</v>
      </c>
      <c r="D768" s="113" t="s">
        <v>658</v>
      </c>
      <c r="E768" s="52">
        <v>0</v>
      </c>
      <c r="F768" s="109" t="s">
        <v>825</v>
      </c>
      <c r="G768" s="49">
        <v>7</v>
      </c>
      <c r="H768" s="21">
        <f t="shared" si="46"/>
        <v>130</v>
      </c>
      <c r="I768" s="113" t="s">
        <v>787</v>
      </c>
      <c r="J768" s="50"/>
    </row>
    <row r="769" spans="1:10">
      <c r="A769" s="41" t="s">
        <v>606</v>
      </c>
      <c r="B769" s="48" t="s">
        <v>699</v>
      </c>
      <c r="C769" s="164">
        <v>21</v>
      </c>
      <c r="D769" s="113" t="s">
        <v>501</v>
      </c>
      <c r="E769" s="52">
        <v>3</v>
      </c>
      <c r="F769" s="122" t="s">
        <v>824</v>
      </c>
      <c r="G769" s="49">
        <v>5</v>
      </c>
      <c r="H769" s="21">
        <f t="shared" si="46"/>
        <v>135</v>
      </c>
      <c r="I769" s="113" t="s">
        <v>792</v>
      </c>
      <c r="J769" s="50"/>
    </row>
    <row r="770" spans="1:10">
      <c r="A770" s="41" t="s">
        <v>606</v>
      </c>
      <c r="B770" s="48" t="s">
        <v>699</v>
      </c>
      <c r="C770" s="135">
        <v>22</v>
      </c>
      <c r="D770" s="113" t="s">
        <v>745</v>
      </c>
      <c r="E770" s="52">
        <v>0</v>
      </c>
      <c r="F770" s="122" t="s">
        <v>806</v>
      </c>
      <c r="G770" s="49">
        <v>15</v>
      </c>
      <c r="H770" s="21">
        <f t="shared" si="46"/>
        <v>150</v>
      </c>
      <c r="I770" s="113" t="s">
        <v>670</v>
      </c>
      <c r="J770" s="50"/>
    </row>
    <row r="771" spans="1:10">
      <c r="A771" s="41" t="s">
        <v>606</v>
      </c>
      <c r="B771" s="48" t="s">
        <v>699</v>
      </c>
      <c r="C771" s="164">
        <v>23</v>
      </c>
      <c r="D771" s="113" t="s">
        <v>659</v>
      </c>
      <c r="E771" s="52">
        <v>0</v>
      </c>
      <c r="F771" s="109" t="s">
        <v>825</v>
      </c>
      <c r="G771" s="49">
        <v>7</v>
      </c>
      <c r="H771" s="21">
        <f t="shared" si="46"/>
        <v>157</v>
      </c>
      <c r="I771" s="113" t="s">
        <v>787</v>
      </c>
      <c r="J771" s="50"/>
    </row>
    <row r="772" spans="1:10">
      <c r="A772" s="41" t="s">
        <v>606</v>
      </c>
      <c r="B772" s="48" t="s">
        <v>699</v>
      </c>
      <c r="C772" s="164">
        <v>24</v>
      </c>
      <c r="D772" s="113" t="s">
        <v>504</v>
      </c>
      <c r="E772" s="52">
        <v>3</v>
      </c>
      <c r="F772" s="122" t="s">
        <v>824</v>
      </c>
      <c r="G772" s="49">
        <v>5</v>
      </c>
      <c r="H772" s="21">
        <f t="shared" si="46"/>
        <v>162</v>
      </c>
      <c r="I772" s="113" t="s">
        <v>792</v>
      </c>
      <c r="J772" s="50"/>
    </row>
    <row r="773" spans="1:10">
      <c r="A773" s="41" t="s">
        <v>606</v>
      </c>
      <c r="B773" s="48" t="s">
        <v>699</v>
      </c>
      <c r="C773" s="135">
        <v>25</v>
      </c>
      <c r="D773" s="113" t="s">
        <v>755</v>
      </c>
      <c r="E773" s="52">
        <v>0</v>
      </c>
      <c r="F773" s="122" t="s">
        <v>806</v>
      </c>
      <c r="G773" s="49">
        <v>15</v>
      </c>
      <c r="H773" s="21">
        <f t="shared" si="46"/>
        <v>177</v>
      </c>
      <c r="I773" s="113" t="s">
        <v>670</v>
      </c>
      <c r="J773" s="50"/>
    </row>
    <row r="774" spans="1:10">
      <c r="A774" s="41" t="s">
        <v>606</v>
      </c>
      <c r="B774" s="48" t="s">
        <v>699</v>
      </c>
      <c r="C774" s="164">
        <v>26</v>
      </c>
      <c r="D774" s="113" t="s">
        <v>664</v>
      </c>
      <c r="E774" s="52">
        <v>0</v>
      </c>
      <c r="F774" s="109" t="s">
        <v>825</v>
      </c>
      <c r="G774" s="49">
        <v>7</v>
      </c>
      <c r="H774" s="21">
        <f t="shared" si="46"/>
        <v>184</v>
      </c>
      <c r="I774" s="113" t="s">
        <v>787</v>
      </c>
      <c r="J774" s="50"/>
    </row>
    <row r="775" spans="1:10">
      <c r="A775" s="41" t="s">
        <v>606</v>
      </c>
      <c r="B775" s="48" t="s">
        <v>699</v>
      </c>
      <c r="C775" s="164">
        <v>27</v>
      </c>
      <c r="D775" s="113" t="s">
        <v>528</v>
      </c>
      <c r="E775" s="52">
        <v>3</v>
      </c>
      <c r="F775" s="122" t="s">
        <v>824</v>
      </c>
      <c r="G775" s="49">
        <v>5</v>
      </c>
      <c r="H775" s="21">
        <f t="shared" si="46"/>
        <v>189</v>
      </c>
      <c r="I775" s="113" t="s">
        <v>792</v>
      </c>
      <c r="J775" s="50"/>
    </row>
    <row r="776" spans="1:10" ht="22.5">
      <c r="A776" s="41" t="s">
        <v>606</v>
      </c>
      <c r="B776" s="48" t="s">
        <v>699</v>
      </c>
      <c r="C776" s="135">
        <v>28</v>
      </c>
      <c r="D776" s="113" t="s">
        <v>750</v>
      </c>
      <c r="E776" s="52">
        <v>0</v>
      </c>
      <c r="F776" s="122" t="s">
        <v>806</v>
      </c>
      <c r="G776" s="49">
        <v>15</v>
      </c>
      <c r="H776" s="21">
        <f t="shared" si="46"/>
        <v>204</v>
      </c>
      <c r="I776" s="113" t="s">
        <v>670</v>
      </c>
      <c r="J776" s="50"/>
    </row>
    <row r="777" spans="1:10">
      <c r="A777" s="41" t="s">
        <v>606</v>
      </c>
      <c r="B777" s="48" t="s">
        <v>699</v>
      </c>
      <c r="C777" s="164">
        <v>29</v>
      </c>
      <c r="D777" s="113" t="s">
        <v>661</v>
      </c>
      <c r="E777" s="52">
        <v>0</v>
      </c>
      <c r="F777" s="109" t="s">
        <v>825</v>
      </c>
      <c r="G777" s="49">
        <v>7</v>
      </c>
      <c r="H777" s="21">
        <f t="shared" si="46"/>
        <v>211</v>
      </c>
      <c r="I777" s="113" t="s">
        <v>787</v>
      </c>
      <c r="J777" s="50"/>
    </row>
    <row r="778" spans="1:10">
      <c r="A778" s="41" t="s">
        <v>606</v>
      </c>
      <c r="B778" s="48" t="s">
        <v>699</v>
      </c>
      <c r="C778" s="164">
        <v>30</v>
      </c>
      <c r="D778" s="113" t="s">
        <v>496</v>
      </c>
      <c r="E778" s="52">
        <v>3</v>
      </c>
      <c r="F778" s="122" t="s">
        <v>824</v>
      </c>
      <c r="G778" s="49">
        <v>5</v>
      </c>
      <c r="H778" s="21">
        <f t="shared" si="46"/>
        <v>216</v>
      </c>
      <c r="I778" s="113" t="s">
        <v>792</v>
      </c>
      <c r="J778" s="50"/>
    </row>
    <row r="779" spans="1:10" ht="22.5">
      <c r="A779" s="41" t="s">
        <v>606</v>
      </c>
      <c r="B779" s="48" t="s">
        <v>699</v>
      </c>
      <c r="C779" s="135">
        <v>31</v>
      </c>
      <c r="D779" s="113" t="s">
        <v>763</v>
      </c>
      <c r="E779" s="52">
        <v>0</v>
      </c>
      <c r="F779" s="122" t="s">
        <v>806</v>
      </c>
      <c r="G779" s="49">
        <v>15</v>
      </c>
      <c r="H779" s="21">
        <f t="shared" si="46"/>
        <v>231</v>
      </c>
      <c r="I779" s="113" t="s">
        <v>670</v>
      </c>
      <c r="J779" s="50"/>
    </row>
    <row r="780" spans="1:10">
      <c r="A780" s="41" t="s">
        <v>606</v>
      </c>
      <c r="B780" s="48" t="s">
        <v>699</v>
      </c>
      <c r="C780" s="164">
        <v>32</v>
      </c>
      <c r="D780" s="113" t="s">
        <v>663</v>
      </c>
      <c r="E780" s="52">
        <v>0</v>
      </c>
      <c r="F780" s="109" t="s">
        <v>825</v>
      </c>
      <c r="G780" s="49">
        <v>7</v>
      </c>
      <c r="H780" s="21">
        <f t="shared" si="46"/>
        <v>238</v>
      </c>
      <c r="I780" s="113" t="s">
        <v>787</v>
      </c>
      <c r="J780" s="50"/>
    </row>
    <row r="781" spans="1:10">
      <c r="A781" s="41" t="s">
        <v>606</v>
      </c>
      <c r="B781" s="48" t="s">
        <v>699</v>
      </c>
      <c r="C781" s="164">
        <v>33</v>
      </c>
      <c r="D781" s="113" t="s">
        <v>503</v>
      </c>
      <c r="E781" s="52">
        <v>3</v>
      </c>
      <c r="F781" s="122" t="s">
        <v>824</v>
      </c>
      <c r="G781" s="49">
        <v>5</v>
      </c>
      <c r="H781" s="21">
        <f t="shared" si="46"/>
        <v>243</v>
      </c>
      <c r="I781" s="113" t="s">
        <v>792</v>
      </c>
      <c r="J781" s="50"/>
    </row>
    <row r="782" spans="1:10" ht="22.5">
      <c r="A782" s="41" t="s">
        <v>606</v>
      </c>
      <c r="B782" s="48" t="s">
        <v>699</v>
      </c>
      <c r="C782" s="135">
        <v>34</v>
      </c>
      <c r="D782" s="113" t="s">
        <v>751</v>
      </c>
      <c r="E782" s="52">
        <v>0</v>
      </c>
      <c r="F782" s="122" t="s">
        <v>806</v>
      </c>
      <c r="G782" s="49">
        <v>15</v>
      </c>
      <c r="H782" s="21">
        <f t="shared" si="46"/>
        <v>258</v>
      </c>
      <c r="I782" s="113" t="s">
        <v>670</v>
      </c>
      <c r="J782" s="50"/>
    </row>
    <row r="783" spans="1:10">
      <c r="A783" s="41" t="s">
        <v>606</v>
      </c>
      <c r="B783" s="48" t="s">
        <v>699</v>
      </c>
      <c r="C783" s="164">
        <v>35</v>
      </c>
      <c r="D783" s="113" t="s">
        <v>656</v>
      </c>
      <c r="E783" s="52">
        <v>0</v>
      </c>
      <c r="F783" s="109" t="s">
        <v>825</v>
      </c>
      <c r="G783" s="49">
        <v>7</v>
      </c>
      <c r="H783" s="21">
        <f t="shared" si="46"/>
        <v>265</v>
      </c>
      <c r="I783" s="113" t="s">
        <v>787</v>
      </c>
      <c r="J783" s="50"/>
    </row>
    <row r="784" spans="1:10">
      <c r="A784" s="41" t="s">
        <v>606</v>
      </c>
      <c r="B784" s="48" t="s">
        <v>699</v>
      </c>
      <c r="C784" s="164">
        <v>36</v>
      </c>
      <c r="D784" s="113" t="s">
        <v>502</v>
      </c>
      <c r="E784" s="52">
        <v>3</v>
      </c>
      <c r="F784" s="122" t="s">
        <v>824</v>
      </c>
      <c r="G784" s="49">
        <v>5</v>
      </c>
      <c r="H784" s="21">
        <f t="shared" si="46"/>
        <v>270</v>
      </c>
      <c r="I784" s="113" t="s">
        <v>792</v>
      </c>
      <c r="J784" s="50"/>
    </row>
    <row r="785" spans="1:11" ht="22.5">
      <c r="A785" s="41" t="s">
        <v>927</v>
      </c>
      <c r="B785" s="48" t="s">
        <v>699</v>
      </c>
      <c r="C785" s="135">
        <v>37</v>
      </c>
      <c r="D785" s="113" t="s">
        <v>764</v>
      </c>
      <c r="E785" s="52">
        <v>0</v>
      </c>
      <c r="F785" s="122" t="s">
        <v>806</v>
      </c>
      <c r="G785" s="49">
        <v>15</v>
      </c>
      <c r="H785" s="21">
        <f t="shared" si="46"/>
        <v>285</v>
      </c>
      <c r="I785" s="113" t="s">
        <v>670</v>
      </c>
      <c r="J785" s="50"/>
    </row>
    <row r="786" spans="1:11">
      <c r="A786" s="41" t="s">
        <v>606</v>
      </c>
      <c r="B786" s="48" t="s">
        <v>699</v>
      </c>
      <c r="C786" s="164">
        <v>38</v>
      </c>
      <c r="D786" s="113" t="s">
        <v>655</v>
      </c>
      <c r="E786" s="52">
        <v>0</v>
      </c>
      <c r="F786" s="109" t="s">
        <v>825</v>
      </c>
      <c r="G786" s="49">
        <v>7</v>
      </c>
      <c r="H786" s="21">
        <f t="shared" si="46"/>
        <v>292</v>
      </c>
      <c r="I786" s="113" t="s">
        <v>787</v>
      </c>
      <c r="J786" s="50"/>
    </row>
    <row r="787" spans="1:11">
      <c r="A787" s="41" t="s">
        <v>606</v>
      </c>
      <c r="B787" s="48" t="s">
        <v>699</v>
      </c>
      <c r="C787" s="164">
        <v>39</v>
      </c>
      <c r="D787" s="113" t="s">
        <v>538</v>
      </c>
      <c r="E787" s="52">
        <v>3</v>
      </c>
      <c r="F787" s="122" t="s">
        <v>824</v>
      </c>
      <c r="G787" s="49">
        <v>5</v>
      </c>
      <c r="H787" s="21">
        <f t="shared" si="46"/>
        <v>297</v>
      </c>
      <c r="I787" s="113" t="s">
        <v>792</v>
      </c>
      <c r="J787" s="50"/>
    </row>
    <row r="788" spans="1:11">
      <c r="A788" s="41" t="s">
        <v>606</v>
      </c>
      <c r="B788" s="48" t="s">
        <v>699</v>
      </c>
      <c r="C788" s="135">
        <v>40</v>
      </c>
      <c r="D788" s="113" t="s">
        <v>762</v>
      </c>
      <c r="E788" s="52">
        <v>0</v>
      </c>
      <c r="F788" s="122" t="s">
        <v>806</v>
      </c>
      <c r="G788" s="49">
        <v>15</v>
      </c>
      <c r="H788" s="21">
        <f t="shared" si="46"/>
        <v>312</v>
      </c>
      <c r="I788" s="113" t="s">
        <v>670</v>
      </c>
      <c r="J788" s="50"/>
    </row>
    <row r="789" spans="1:11">
      <c r="A789" s="41" t="s">
        <v>606</v>
      </c>
      <c r="B789" s="48" t="s">
        <v>699</v>
      </c>
      <c r="C789" s="164">
        <v>41</v>
      </c>
      <c r="D789" s="113" t="s">
        <v>660</v>
      </c>
      <c r="E789" s="52">
        <v>0</v>
      </c>
      <c r="F789" s="109" t="s">
        <v>825</v>
      </c>
      <c r="G789" s="49">
        <v>7</v>
      </c>
      <c r="H789" s="21">
        <f t="shared" si="46"/>
        <v>319</v>
      </c>
      <c r="I789" s="113" t="s">
        <v>787</v>
      </c>
      <c r="J789" s="50"/>
    </row>
    <row r="790" spans="1:11">
      <c r="A790" s="41" t="s">
        <v>606</v>
      </c>
      <c r="B790" s="48" t="s">
        <v>699</v>
      </c>
      <c r="C790" s="164">
        <v>42</v>
      </c>
      <c r="D790" s="113" t="s">
        <v>523</v>
      </c>
      <c r="E790" s="52">
        <v>3</v>
      </c>
      <c r="F790" s="122" t="s">
        <v>824</v>
      </c>
      <c r="G790" s="49">
        <v>5</v>
      </c>
      <c r="H790" s="21">
        <f t="shared" si="46"/>
        <v>324</v>
      </c>
      <c r="I790" s="113" t="s">
        <v>792</v>
      </c>
      <c r="J790" s="50"/>
    </row>
    <row r="791" spans="1:11">
      <c r="A791" s="41" t="s">
        <v>606</v>
      </c>
      <c r="B791" s="48" t="s">
        <v>699</v>
      </c>
      <c r="C791" s="135">
        <v>43</v>
      </c>
      <c r="D791" s="113" t="s">
        <v>757</v>
      </c>
      <c r="E791" s="52">
        <v>0</v>
      </c>
      <c r="F791" s="122" t="s">
        <v>806</v>
      </c>
      <c r="G791" s="49">
        <v>15</v>
      </c>
      <c r="H791" s="21">
        <f t="shared" si="46"/>
        <v>339</v>
      </c>
      <c r="I791" s="113" t="s">
        <v>670</v>
      </c>
      <c r="J791" s="50"/>
    </row>
    <row r="792" spans="1:11">
      <c r="A792" s="41" t="s">
        <v>606</v>
      </c>
      <c r="B792" s="48" t="s">
        <v>699</v>
      </c>
      <c r="C792" s="164">
        <v>44</v>
      </c>
      <c r="D792" s="113" t="s">
        <v>770</v>
      </c>
      <c r="E792" s="52">
        <v>0</v>
      </c>
      <c r="F792" s="122" t="s">
        <v>806</v>
      </c>
      <c r="G792" s="49">
        <v>15</v>
      </c>
      <c r="H792" s="21">
        <f t="shared" si="46"/>
        <v>354</v>
      </c>
      <c r="I792" s="113" t="s">
        <v>144</v>
      </c>
      <c r="J792" s="50"/>
    </row>
    <row r="793" spans="1:11">
      <c r="A793" s="41" t="s">
        <v>606</v>
      </c>
      <c r="B793" s="48" t="s">
        <v>699</v>
      </c>
      <c r="C793" s="164">
        <v>45</v>
      </c>
      <c r="D793" s="113" t="s">
        <v>748</v>
      </c>
      <c r="E793" s="52">
        <v>0</v>
      </c>
      <c r="F793" s="122" t="s">
        <v>806</v>
      </c>
      <c r="G793" s="49">
        <v>15</v>
      </c>
      <c r="H793" s="21">
        <f t="shared" si="46"/>
        <v>369</v>
      </c>
      <c r="I793" s="113" t="s">
        <v>144</v>
      </c>
      <c r="J793" s="50"/>
    </row>
    <row r="794" spans="1:11">
      <c r="A794" s="41" t="s">
        <v>606</v>
      </c>
      <c r="B794" s="48" t="s">
        <v>699</v>
      </c>
      <c r="C794" s="135">
        <v>46</v>
      </c>
      <c r="D794" s="113" t="s">
        <v>881</v>
      </c>
      <c r="E794" s="52">
        <v>0</v>
      </c>
      <c r="F794" s="109" t="s">
        <v>825</v>
      </c>
      <c r="G794" s="49">
        <v>10</v>
      </c>
      <c r="H794" s="21">
        <f t="shared" si="46"/>
        <v>379</v>
      </c>
      <c r="I794" s="113" t="s">
        <v>144</v>
      </c>
      <c r="J794" s="50"/>
    </row>
    <row r="795" spans="1:11">
      <c r="A795" s="41" t="s">
        <v>606</v>
      </c>
      <c r="B795" s="45" t="s">
        <v>1015</v>
      </c>
      <c r="C795" s="165">
        <v>47</v>
      </c>
      <c r="D795" s="108" t="s">
        <v>39</v>
      </c>
      <c r="E795" s="51">
        <v>0</v>
      </c>
      <c r="F795" s="121" t="s">
        <v>825</v>
      </c>
      <c r="G795" s="114">
        <v>1</v>
      </c>
      <c r="H795" s="114">
        <f t="shared" si="46"/>
        <v>380</v>
      </c>
      <c r="I795" s="108" t="s">
        <v>544</v>
      </c>
      <c r="J795" s="114"/>
    </row>
    <row r="796" spans="1:11">
      <c r="A796" s="41" t="s">
        <v>1000</v>
      </c>
      <c r="B796" s="48" t="s">
        <v>1025</v>
      </c>
      <c r="C796" s="40">
        <v>1</v>
      </c>
      <c r="D796" s="111" t="s">
        <v>389</v>
      </c>
      <c r="E796" s="188">
        <v>0</v>
      </c>
      <c r="F796" s="189" t="s">
        <v>825</v>
      </c>
      <c r="G796" s="190">
        <v>2</v>
      </c>
      <c r="H796" s="40">
        <v>2</v>
      </c>
      <c r="I796" s="111" t="s">
        <v>121</v>
      </c>
      <c r="J796" s="50"/>
      <c r="K796" s="50"/>
    </row>
    <row r="797" spans="1:11">
      <c r="A797" s="41" t="s">
        <v>1000</v>
      </c>
      <c r="B797" s="48" t="s">
        <v>1025</v>
      </c>
      <c r="C797" s="40">
        <v>2</v>
      </c>
      <c r="D797" s="113" t="s">
        <v>929</v>
      </c>
      <c r="E797" s="188">
        <v>0</v>
      </c>
      <c r="F797" s="191" t="s">
        <v>825</v>
      </c>
      <c r="G797" s="49">
        <v>3</v>
      </c>
      <c r="H797" s="21">
        <f t="shared" ref="H797:H825" si="47">H796+G797</f>
        <v>5</v>
      </c>
      <c r="I797" s="113" t="s">
        <v>1459</v>
      </c>
      <c r="J797" s="50"/>
      <c r="K797" s="50"/>
    </row>
    <row r="798" spans="1:11">
      <c r="A798" s="41" t="s">
        <v>1000</v>
      </c>
      <c r="B798" s="48" t="s">
        <v>1025</v>
      </c>
      <c r="C798" s="185">
        <v>3</v>
      </c>
      <c r="D798" s="113" t="s">
        <v>741</v>
      </c>
      <c r="E798" s="135">
        <v>0</v>
      </c>
      <c r="F798" s="191" t="s">
        <v>825</v>
      </c>
      <c r="G798" s="49">
        <v>4</v>
      </c>
      <c r="H798" s="21">
        <f t="shared" si="47"/>
        <v>9</v>
      </c>
      <c r="I798" s="107" t="s">
        <v>1004</v>
      </c>
      <c r="J798" s="50"/>
      <c r="K798" s="50"/>
    </row>
    <row r="799" spans="1:11">
      <c r="A799" s="41" t="s">
        <v>1000</v>
      </c>
      <c r="B799" s="48" t="s">
        <v>1025</v>
      </c>
      <c r="C799" s="186">
        <v>4</v>
      </c>
      <c r="D799" s="113" t="s">
        <v>505</v>
      </c>
      <c r="E799" s="135">
        <v>0</v>
      </c>
      <c r="F799" s="191" t="s">
        <v>806</v>
      </c>
      <c r="G799" s="49">
        <v>6</v>
      </c>
      <c r="H799" s="21">
        <f t="shared" si="47"/>
        <v>15</v>
      </c>
      <c r="I799" s="107" t="s">
        <v>144</v>
      </c>
      <c r="J799" s="50"/>
      <c r="K799" s="50"/>
    </row>
    <row r="800" spans="1:11">
      <c r="A800" s="41" t="s">
        <v>1000</v>
      </c>
      <c r="B800" s="48" t="s">
        <v>1025</v>
      </c>
      <c r="C800" s="185">
        <v>5</v>
      </c>
      <c r="D800" s="113" t="s">
        <v>506</v>
      </c>
      <c r="E800" s="135">
        <v>0</v>
      </c>
      <c r="F800" s="191" t="s">
        <v>825</v>
      </c>
      <c r="G800" s="49">
        <v>2</v>
      </c>
      <c r="H800" s="21">
        <f t="shared" si="47"/>
        <v>17</v>
      </c>
      <c r="I800" s="107" t="s">
        <v>809</v>
      </c>
      <c r="J800" s="50"/>
      <c r="K800" s="50"/>
    </row>
    <row r="801" spans="1:11">
      <c r="A801" s="41" t="s">
        <v>1000</v>
      </c>
      <c r="B801" s="48" t="s">
        <v>1025</v>
      </c>
      <c r="C801" s="186">
        <v>6</v>
      </c>
      <c r="D801" s="113" t="s">
        <v>404</v>
      </c>
      <c r="E801" s="135">
        <v>0</v>
      </c>
      <c r="F801" s="191" t="s">
        <v>806</v>
      </c>
      <c r="G801" s="49">
        <v>6</v>
      </c>
      <c r="H801" s="21">
        <f t="shared" si="47"/>
        <v>23</v>
      </c>
      <c r="I801" s="107" t="s">
        <v>144</v>
      </c>
      <c r="J801" s="50"/>
      <c r="K801" s="50"/>
    </row>
    <row r="802" spans="1:11">
      <c r="A802" s="41" t="s">
        <v>1000</v>
      </c>
      <c r="B802" s="48" t="s">
        <v>1025</v>
      </c>
      <c r="C802" s="185">
        <v>7</v>
      </c>
      <c r="D802" s="113" t="s">
        <v>568</v>
      </c>
      <c r="E802" s="135">
        <v>0</v>
      </c>
      <c r="F802" s="191" t="s">
        <v>825</v>
      </c>
      <c r="G802" s="49">
        <v>14</v>
      </c>
      <c r="H802" s="21">
        <f t="shared" si="47"/>
        <v>37</v>
      </c>
      <c r="I802" s="107" t="s">
        <v>359</v>
      </c>
      <c r="J802" s="50"/>
      <c r="K802" s="50"/>
    </row>
    <row r="803" spans="1:11">
      <c r="A803" s="41" t="s">
        <v>1000</v>
      </c>
      <c r="B803" s="48" t="s">
        <v>1025</v>
      </c>
      <c r="C803" s="186">
        <v>8</v>
      </c>
      <c r="D803" s="113" t="s">
        <v>426</v>
      </c>
      <c r="E803" s="135">
        <v>0</v>
      </c>
      <c r="F803" s="191" t="s">
        <v>825</v>
      </c>
      <c r="G803" s="49">
        <v>3</v>
      </c>
      <c r="H803" s="21">
        <f t="shared" si="47"/>
        <v>40</v>
      </c>
      <c r="I803" s="107" t="s">
        <v>1005</v>
      </c>
      <c r="J803" s="50"/>
      <c r="K803" s="50"/>
    </row>
    <row r="804" spans="1:11">
      <c r="A804" s="41" t="s">
        <v>1000</v>
      </c>
      <c r="B804" s="48" t="s">
        <v>1025</v>
      </c>
      <c r="C804" s="185">
        <v>9</v>
      </c>
      <c r="D804" s="113" t="s">
        <v>461</v>
      </c>
      <c r="E804" s="135">
        <v>0</v>
      </c>
      <c r="F804" s="191" t="s">
        <v>825</v>
      </c>
      <c r="G804" s="49">
        <v>2</v>
      </c>
      <c r="H804" s="21">
        <f t="shared" si="47"/>
        <v>42</v>
      </c>
      <c r="I804" s="107" t="s">
        <v>322</v>
      </c>
      <c r="J804" s="50"/>
      <c r="K804" s="50"/>
    </row>
    <row r="805" spans="1:11" ht="22.5">
      <c r="A805" s="41" t="s">
        <v>1000</v>
      </c>
      <c r="B805" s="48" t="s">
        <v>1025</v>
      </c>
      <c r="C805" s="186">
        <v>10</v>
      </c>
      <c r="D805" s="113" t="s">
        <v>419</v>
      </c>
      <c r="E805" s="135">
        <v>0</v>
      </c>
      <c r="F805" s="191" t="s">
        <v>806</v>
      </c>
      <c r="G805" s="49">
        <v>6</v>
      </c>
      <c r="H805" s="21">
        <f t="shared" si="47"/>
        <v>48</v>
      </c>
      <c r="I805" s="113" t="s">
        <v>0</v>
      </c>
      <c r="J805" s="50"/>
      <c r="K805" s="50"/>
    </row>
    <row r="806" spans="1:11">
      <c r="A806" s="41" t="s">
        <v>1000</v>
      </c>
      <c r="B806" s="48" t="s">
        <v>1025</v>
      </c>
      <c r="C806" s="185">
        <v>11</v>
      </c>
      <c r="D806" s="113" t="s">
        <v>423</v>
      </c>
      <c r="E806" s="135">
        <v>0</v>
      </c>
      <c r="F806" s="191" t="s">
        <v>825</v>
      </c>
      <c r="G806" s="49">
        <v>8</v>
      </c>
      <c r="H806" s="21">
        <f t="shared" si="47"/>
        <v>56</v>
      </c>
      <c r="I806" s="107" t="s">
        <v>353</v>
      </c>
      <c r="J806" s="50"/>
      <c r="K806" s="50"/>
    </row>
    <row r="807" spans="1:11">
      <c r="A807" s="41" t="s">
        <v>1000</v>
      </c>
      <c r="B807" s="48" t="s">
        <v>1025</v>
      </c>
      <c r="C807" s="186">
        <v>12</v>
      </c>
      <c r="D807" s="192" t="s">
        <v>1635</v>
      </c>
      <c r="E807" s="18">
        <v>0</v>
      </c>
      <c r="F807" s="193" t="s">
        <v>998</v>
      </c>
      <c r="G807" s="194">
        <v>2</v>
      </c>
      <c r="H807" s="21">
        <f t="shared" si="47"/>
        <v>58</v>
      </c>
      <c r="I807" s="113" t="s">
        <v>1026</v>
      </c>
      <c r="J807" s="50"/>
      <c r="K807" s="50"/>
    </row>
    <row r="808" spans="1:11">
      <c r="A808" s="41" t="s">
        <v>1000</v>
      </c>
      <c r="B808" s="48" t="s">
        <v>1025</v>
      </c>
      <c r="C808" s="185">
        <v>13</v>
      </c>
      <c r="D808" s="192" t="s">
        <v>1027</v>
      </c>
      <c r="E808" s="18">
        <v>0</v>
      </c>
      <c r="F808" s="193" t="s">
        <v>998</v>
      </c>
      <c r="G808" s="194">
        <v>1</v>
      </c>
      <c r="H808" s="21">
        <f t="shared" si="47"/>
        <v>59</v>
      </c>
      <c r="I808" s="113" t="s">
        <v>1028</v>
      </c>
      <c r="J808" s="50"/>
      <c r="K808" s="50"/>
    </row>
    <row r="809" spans="1:11">
      <c r="A809" s="41" t="s">
        <v>1000</v>
      </c>
      <c r="B809" s="48" t="s">
        <v>1025</v>
      </c>
      <c r="C809" s="186">
        <v>14</v>
      </c>
      <c r="D809" s="192" t="s">
        <v>1029</v>
      </c>
      <c r="E809" s="18">
        <v>0</v>
      </c>
      <c r="F809" s="193" t="s">
        <v>1006</v>
      </c>
      <c r="G809" s="194">
        <v>8</v>
      </c>
      <c r="H809" s="21">
        <f t="shared" si="47"/>
        <v>67</v>
      </c>
      <c r="I809" s="113" t="s">
        <v>1007</v>
      </c>
      <c r="J809" s="50"/>
      <c r="K809" s="50"/>
    </row>
    <row r="810" spans="1:11">
      <c r="A810" s="41" t="s">
        <v>1000</v>
      </c>
      <c r="B810" s="48" t="s">
        <v>1025</v>
      </c>
      <c r="C810" s="185">
        <v>15</v>
      </c>
      <c r="D810" s="192" t="s">
        <v>1027</v>
      </c>
      <c r="E810" s="18">
        <v>0</v>
      </c>
      <c r="F810" s="193" t="s">
        <v>998</v>
      </c>
      <c r="G810" s="194">
        <v>1</v>
      </c>
      <c r="H810" s="21">
        <f t="shared" si="47"/>
        <v>68</v>
      </c>
      <c r="I810" s="113" t="s">
        <v>1030</v>
      </c>
      <c r="J810" s="50"/>
      <c r="K810" s="50"/>
    </row>
    <row r="811" spans="1:11">
      <c r="A811" s="41" t="s">
        <v>1000</v>
      </c>
      <c r="B811" s="48" t="s">
        <v>1025</v>
      </c>
      <c r="C811" s="186">
        <v>16</v>
      </c>
      <c r="D811" s="192" t="s">
        <v>1029</v>
      </c>
      <c r="E811" s="18">
        <v>0</v>
      </c>
      <c r="F811" s="193" t="s">
        <v>1006</v>
      </c>
      <c r="G811" s="194">
        <v>8</v>
      </c>
      <c r="H811" s="21">
        <f t="shared" si="47"/>
        <v>76</v>
      </c>
      <c r="I811" s="113" t="s">
        <v>1007</v>
      </c>
      <c r="J811" s="50"/>
      <c r="K811" s="50"/>
    </row>
    <row r="812" spans="1:11">
      <c r="A812" s="41" t="s">
        <v>1000</v>
      </c>
      <c r="B812" s="48" t="s">
        <v>1025</v>
      </c>
      <c r="C812" s="185">
        <v>17</v>
      </c>
      <c r="D812" s="192" t="s">
        <v>1027</v>
      </c>
      <c r="E812" s="18">
        <v>0</v>
      </c>
      <c r="F812" s="193" t="s">
        <v>998</v>
      </c>
      <c r="G812" s="194">
        <v>1</v>
      </c>
      <c r="H812" s="21">
        <f t="shared" si="47"/>
        <v>77</v>
      </c>
      <c r="I812" s="113" t="s">
        <v>1031</v>
      </c>
      <c r="J812" s="50"/>
      <c r="K812" s="50"/>
    </row>
    <row r="813" spans="1:11">
      <c r="A813" s="41" t="s">
        <v>1000</v>
      </c>
      <c r="B813" s="48" t="s">
        <v>1025</v>
      </c>
      <c r="C813" s="186">
        <v>18</v>
      </c>
      <c r="D813" s="192" t="s">
        <v>1029</v>
      </c>
      <c r="E813" s="18">
        <v>0</v>
      </c>
      <c r="F813" s="193" t="s">
        <v>1006</v>
      </c>
      <c r="G813" s="194">
        <v>8</v>
      </c>
      <c r="H813" s="21">
        <f t="shared" si="47"/>
        <v>85</v>
      </c>
      <c r="I813" s="113" t="s">
        <v>1007</v>
      </c>
      <c r="J813" s="50"/>
      <c r="K813" s="50"/>
    </row>
    <row r="814" spans="1:11">
      <c r="A814" s="41" t="s">
        <v>1000</v>
      </c>
      <c r="B814" s="48" t="s">
        <v>1025</v>
      </c>
      <c r="C814" s="185">
        <v>19</v>
      </c>
      <c r="D814" s="192" t="s">
        <v>1027</v>
      </c>
      <c r="E814" s="18">
        <v>0</v>
      </c>
      <c r="F814" s="193" t="s">
        <v>998</v>
      </c>
      <c r="G814" s="194">
        <v>1</v>
      </c>
      <c r="H814" s="21">
        <f t="shared" si="47"/>
        <v>86</v>
      </c>
      <c r="I814" s="113" t="s">
        <v>1032</v>
      </c>
      <c r="J814" s="50"/>
      <c r="K814" s="50"/>
    </row>
    <row r="815" spans="1:11">
      <c r="A815" s="41" t="s">
        <v>1000</v>
      </c>
      <c r="B815" s="48" t="s">
        <v>1025</v>
      </c>
      <c r="C815" s="186">
        <v>20</v>
      </c>
      <c r="D815" s="192" t="s">
        <v>1029</v>
      </c>
      <c r="E815" s="18">
        <v>0</v>
      </c>
      <c r="F815" s="193" t="s">
        <v>1006</v>
      </c>
      <c r="G815" s="194">
        <v>8</v>
      </c>
      <c r="H815" s="21">
        <f t="shared" si="47"/>
        <v>94</v>
      </c>
      <c r="I815" s="113" t="s">
        <v>1007</v>
      </c>
      <c r="J815" s="50"/>
      <c r="K815" s="50"/>
    </row>
    <row r="816" spans="1:11">
      <c r="A816" s="41" t="s">
        <v>1000</v>
      </c>
      <c r="B816" s="48" t="s">
        <v>1025</v>
      </c>
      <c r="C816" s="185">
        <v>21</v>
      </c>
      <c r="D816" s="192" t="s">
        <v>1027</v>
      </c>
      <c r="E816" s="18">
        <v>0</v>
      </c>
      <c r="F816" s="193" t="s">
        <v>998</v>
      </c>
      <c r="G816" s="194">
        <v>1</v>
      </c>
      <c r="H816" s="21">
        <f t="shared" si="47"/>
        <v>95</v>
      </c>
      <c r="I816" s="113" t="s">
        <v>1033</v>
      </c>
      <c r="J816" s="50"/>
      <c r="K816" s="50"/>
    </row>
    <row r="817" spans="1:11">
      <c r="A817" s="41" t="s">
        <v>1000</v>
      </c>
      <c r="B817" s="48" t="s">
        <v>1025</v>
      </c>
      <c r="C817" s="186">
        <v>22</v>
      </c>
      <c r="D817" s="192" t="s">
        <v>1029</v>
      </c>
      <c r="E817" s="18">
        <v>0</v>
      </c>
      <c r="F817" s="193" t="s">
        <v>1006</v>
      </c>
      <c r="G817" s="194">
        <v>8</v>
      </c>
      <c r="H817" s="21">
        <f t="shared" si="47"/>
        <v>103</v>
      </c>
      <c r="I817" s="113" t="s">
        <v>1007</v>
      </c>
      <c r="J817" s="50"/>
      <c r="K817" s="50"/>
    </row>
    <row r="818" spans="1:11">
      <c r="A818" s="41" t="s">
        <v>1000</v>
      </c>
      <c r="B818" s="48" t="s">
        <v>1025</v>
      </c>
      <c r="C818" s="185">
        <v>23</v>
      </c>
      <c r="D818" s="192" t="s">
        <v>1027</v>
      </c>
      <c r="E818" s="18">
        <v>0</v>
      </c>
      <c r="F818" s="193" t="s">
        <v>998</v>
      </c>
      <c r="G818" s="194">
        <v>1</v>
      </c>
      <c r="H818" s="21">
        <f t="shared" si="47"/>
        <v>104</v>
      </c>
      <c r="I818" s="113" t="s">
        <v>1034</v>
      </c>
      <c r="J818" s="50"/>
      <c r="K818" s="50"/>
    </row>
    <row r="819" spans="1:11">
      <c r="A819" s="41" t="s">
        <v>1000</v>
      </c>
      <c r="B819" s="48" t="s">
        <v>1025</v>
      </c>
      <c r="C819" s="186">
        <v>24</v>
      </c>
      <c r="D819" s="192" t="s">
        <v>1029</v>
      </c>
      <c r="E819" s="18">
        <v>0</v>
      </c>
      <c r="F819" s="193" t="s">
        <v>1006</v>
      </c>
      <c r="G819" s="194">
        <v>8</v>
      </c>
      <c r="H819" s="21">
        <f t="shared" si="47"/>
        <v>112</v>
      </c>
      <c r="I819" s="113" t="s">
        <v>1007</v>
      </c>
      <c r="J819" s="50"/>
      <c r="K819" s="50"/>
    </row>
    <row r="820" spans="1:11">
      <c r="A820" s="41" t="s">
        <v>1000</v>
      </c>
      <c r="B820" s="48" t="s">
        <v>1025</v>
      </c>
      <c r="C820" s="185">
        <v>25</v>
      </c>
      <c r="D820" s="192" t="s">
        <v>1027</v>
      </c>
      <c r="E820" s="18">
        <v>0</v>
      </c>
      <c r="F820" s="193" t="s">
        <v>998</v>
      </c>
      <c r="G820" s="194">
        <v>1</v>
      </c>
      <c r="H820" s="21">
        <f t="shared" si="47"/>
        <v>113</v>
      </c>
      <c r="I820" s="113" t="s">
        <v>1035</v>
      </c>
      <c r="J820" s="50"/>
      <c r="K820" s="50"/>
    </row>
    <row r="821" spans="1:11">
      <c r="A821" s="41" t="s">
        <v>1000</v>
      </c>
      <c r="B821" s="48" t="s">
        <v>1025</v>
      </c>
      <c r="C821" s="186">
        <v>26</v>
      </c>
      <c r="D821" s="192" t="s">
        <v>1029</v>
      </c>
      <c r="E821" s="18">
        <v>0</v>
      </c>
      <c r="F821" s="193" t="s">
        <v>1006</v>
      </c>
      <c r="G821" s="194">
        <v>8</v>
      </c>
      <c r="H821" s="21">
        <f t="shared" si="47"/>
        <v>121</v>
      </c>
      <c r="I821" s="113" t="s">
        <v>1007</v>
      </c>
      <c r="J821" s="50"/>
      <c r="K821" s="50"/>
    </row>
    <row r="822" spans="1:11">
      <c r="A822" s="41" t="s">
        <v>1000</v>
      </c>
      <c r="B822" s="48" t="s">
        <v>1025</v>
      </c>
      <c r="C822" s="185">
        <v>27</v>
      </c>
      <c r="D822" s="192" t="s">
        <v>1027</v>
      </c>
      <c r="E822" s="18">
        <v>0</v>
      </c>
      <c r="F822" s="193" t="s">
        <v>998</v>
      </c>
      <c r="G822" s="194">
        <v>1</v>
      </c>
      <c r="H822" s="21">
        <f t="shared" si="47"/>
        <v>122</v>
      </c>
      <c r="I822" s="113" t="s">
        <v>1036</v>
      </c>
      <c r="J822" s="50"/>
      <c r="K822" s="50"/>
    </row>
    <row r="823" spans="1:11">
      <c r="A823" s="41" t="s">
        <v>1000</v>
      </c>
      <c r="B823" s="48" t="s">
        <v>1025</v>
      </c>
      <c r="C823" s="186">
        <v>28</v>
      </c>
      <c r="D823" s="192" t="s">
        <v>1029</v>
      </c>
      <c r="E823" s="18">
        <v>0</v>
      </c>
      <c r="F823" s="193" t="s">
        <v>1006</v>
      </c>
      <c r="G823" s="194">
        <v>8</v>
      </c>
      <c r="H823" s="21">
        <f t="shared" si="47"/>
        <v>130</v>
      </c>
      <c r="I823" s="113" t="s">
        <v>1007</v>
      </c>
      <c r="J823" s="50"/>
      <c r="K823" s="50"/>
    </row>
    <row r="824" spans="1:11">
      <c r="A824" s="41" t="s">
        <v>1000</v>
      </c>
      <c r="B824" s="48" t="s">
        <v>1025</v>
      </c>
      <c r="C824" s="185">
        <v>29</v>
      </c>
      <c r="D824" s="113" t="s">
        <v>881</v>
      </c>
      <c r="E824" s="135">
        <v>0</v>
      </c>
      <c r="F824" s="191" t="s">
        <v>825</v>
      </c>
      <c r="G824" s="49">
        <v>249</v>
      </c>
      <c r="H824" s="21">
        <f t="shared" si="47"/>
        <v>379</v>
      </c>
      <c r="I824" s="113"/>
      <c r="J824" s="50"/>
      <c r="K824" s="50"/>
    </row>
    <row r="825" spans="1:11">
      <c r="A825" s="41" t="s">
        <v>1000</v>
      </c>
      <c r="B825" s="195" t="s">
        <v>1025</v>
      </c>
      <c r="C825" s="154">
        <v>30</v>
      </c>
      <c r="D825" s="108" t="s">
        <v>39</v>
      </c>
      <c r="E825" s="196">
        <v>0</v>
      </c>
      <c r="F825" s="197" t="s">
        <v>825</v>
      </c>
      <c r="G825" s="198">
        <v>1</v>
      </c>
      <c r="H825" s="114">
        <f t="shared" si="47"/>
        <v>380</v>
      </c>
      <c r="I825" s="114"/>
      <c r="J825" s="114"/>
      <c r="K825" s="114"/>
    </row>
    <row r="826" spans="1:11">
      <c r="A826" s="41" t="s">
        <v>1001</v>
      </c>
      <c r="B826" s="192" t="s">
        <v>1037</v>
      </c>
      <c r="C826" s="186">
        <v>1</v>
      </c>
      <c r="D826" s="111" t="s">
        <v>389</v>
      </c>
      <c r="E826" s="188">
        <v>0</v>
      </c>
      <c r="F826" s="189" t="s">
        <v>825</v>
      </c>
      <c r="G826" s="190">
        <v>2</v>
      </c>
      <c r="H826" s="40">
        <v>2</v>
      </c>
      <c r="I826" s="111" t="s">
        <v>121</v>
      </c>
      <c r="J826" s="50"/>
      <c r="K826" s="50"/>
    </row>
    <row r="827" spans="1:11">
      <c r="A827" s="41" t="s">
        <v>1001</v>
      </c>
      <c r="B827" s="192" t="s">
        <v>1037</v>
      </c>
      <c r="C827" s="186">
        <v>2</v>
      </c>
      <c r="D827" s="113" t="s">
        <v>929</v>
      </c>
      <c r="E827" s="188">
        <v>0</v>
      </c>
      <c r="F827" s="191" t="s">
        <v>825</v>
      </c>
      <c r="G827" s="49">
        <v>3</v>
      </c>
      <c r="H827" s="21">
        <f t="shared" ref="H827:H852" si="48">H826+G827</f>
        <v>5</v>
      </c>
      <c r="I827" s="113" t="s">
        <v>1459</v>
      </c>
      <c r="J827" s="50"/>
      <c r="K827" s="50"/>
    </row>
    <row r="828" spans="1:11">
      <c r="A828" s="41" t="s">
        <v>1001</v>
      </c>
      <c r="B828" s="192" t="s">
        <v>1037</v>
      </c>
      <c r="C828" s="186">
        <v>3</v>
      </c>
      <c r="D828" s="113" t="s">
        <v>741</v>
      </c>
      <c r="E828" s="135">
        <v>0</v>
      </c>
      <c r="F828" s="191" t="s">
        <v>825</v>
      </c>
      <c r="G828" s="49">
        <v>4</v>
      </c>
      <c r="H828" s="21">
        <f t="shared" si="48"/>
        <v>9</v>
      </c>
      <c r="I828" s="107" t="s">
        <v>1004</v>
      </c>
      <c r="J828" s="50"/>
      <c r="K828" s="50"/>
    </row>
    <row r="829" spans="1:11">
      <c r="A829" s="41" t="s">
        <v>1001</v>
      </c>
      <c r="B829" s="192" t="s">
        <v>1037</v>
      </c>
      <c r="C829" s="186">
        <v>4</v>
      </c>
      <c r="D829" s="113" t="s">
        <v>505</v>
      </c>
      <c r="E829" s="135">
        <v>0</v>
      </c>
      <c r="F829" s="191" t="s">
        <v>806</v>
      </c>
      <c r="G829" s="49">
        <v>6</v>
      </c>
      <c r="H829" s="21">
        <f t="shared" si="48"/>
        <v>15</v>
      </c>
      <c r="I829" s="107" t="s">
        <v>144</v>
      </c>
      <c r="J829" s="50"/>
      <c r="K829" s="50"/>
    </row>
    <row r="830" spans="1:11">
      <c r="A830" s="41" t="s">
        <v>1001</v>
      </c>
      <c r="B830" s="192" t="s">
        <v>1037</v>
      </c>
      <c r="C830" s="186">
        <v>5</v>
      </c>
      <c r="D830" s="113" t="s">
        <v>506</v>
      </c>
      <c r="E830" s="135">
        <v>0</v>
      </c>
      <c r="F830" s="191" t="s">
        <v>825</v>
      </c>
      <c r="G830" s="49">
        <v>2</v>
      </c>
      <c r="H830" s="21">
        <f t="shared" si="48"/>
        <v>17</v>
      </c>
      <c r="I830" s="107" t="s">
        <v>809</v>
      </c>
      <c r="J830" s="50"/>
      <c r="K830" s="50"/>
    </row>
    <row r="831" spans="1:11">
      <c r="A831" s="41" t="s">
        <v>1001</v>
      </c>
      <c r="B831" s="192" t="s">
        <v>1037</v>
      </c>
      <c r="C831" s="186">
        <v>6</v>
      </c>
      <c r="D831" s="113" t="s">
        <v>404</v>
      </c>
      <c r="E831" s="135">
        <v>0</v>
      </c>
      <c r="F831" s="191" t="s">
        <v>806</v>
      </c>
      <c r="G831" s="49">
        <v>6</v>
      </c>
      <c r="H831" s="21">
        <f t="shared" si="48"/>
        <v>23</v>
      </c>
      <c r="I831" s="107" t="s">
        <v>144</v>
      </c>
      <c r="J831" s="50"/>
      <c r="K831" s="50"/>
    </row>
    <row r="832" spans="1:11">
      <c r="A832" s="41" t="s">
        <v>1001</v>
      </c>
      <c r="B832" s="192" t="s">
        <v>1037</v>
      </c>
      <c r="C832" s="186">
        <v>7</v>
      </c>
      <c r="D832" s="113" t="s">
        <v>568</v>
      </c>
      <c r="E832" s="135">
        <v>0</v>
      </c>
      <c r="F832" s="191" t="s">
        <v>825</v>
      </c>
      <c r="G832" s="49">
        <v>14</v>
      </c>
      <c r="H832" s="21">
        <f t="shared" si="48"/>
        <v>37</v>
      </c>
      <c r="I832" s="107" t="s">
        <v>359</v>
      </c>
      <c r="J832" s="50"/>
      <c r="K832" s="50"/>
    </row>
    <row r="833" spans="1:11">
      <c r="A833" s="41" t="s">
        <v>1001</v>
      </c>
      <c r="B833" s="192" t="s">
        <v>1037</v>
      </c>
      <c r="C833" s="186">
        <v>8</v>
      </c>
      <c r="D833" s="113" t="s">
        <v>426</v>
      </c>
      <c r="E833" s="135">
        <v>0</v>
      </c>
      <c r="F833" s="191" t="s">
        <v>825</v>
      </c>
      <c r="G833" s="49">
        <v>3</v>
      </c>
      <c r="H833" s="21">
        <f t="shared" si="48"/>
        <v>40</v>
      </c>
      <c r="I833" s="107" t="s">
        <v>1008</v>
      </c>
      <c r="J833" s="50"/>
      <c r="K833" s="50"/>
    </row>
    <row r="834" spans="1:11">
      <c r="A834" s="41" t="s">
        <v>1001</v>
      </c>
      <c r="B834" s="192" t="s">
        <v>1037</v>
      </c>
      <c r="C834" s="186">
        <v>9</v>
      </c>
      <c r="D834" s="113" t="s">
        <v>461</v>
      </c>
      <c r="E834" s="135">
        <v>0</v>
      </c>
      <c r="F834" s="191" t="s">
        <v>825</v>
      </c>
      <c r="G834" s="49">
        <v>2</v>
      </c>
      <c r="H834" s="21">
        <f t="shared" si="48"/>
        <v>42</v>
      </c>
      <c r="I834" s="107" t="s">
        <v>322</v>
      </c>
      <c r="J834" s="50"/>
      <c r="K834" s="50"/>
    </row>
    <row r="835" spans="1:11" ht="22.5">
      <c r="A835" s="41" t="s">
        <v>1001</v>
      </c>
      <c r="B835" s="192" t="s">
        <v>1037</v>
      </c>
      <c r="C835" s="186">
        <v>10</v>
      </c>
      <c r="D835" s="113" t="s">
        <v>419</v>
      </c>
      <c r="E835" s="135">
        <v>0</v>
      </c>
      <c r="F835" s="191" t="s">
        <v>806</v>
      </c>
      <c r="G835" s="49">
        <v>6</v>
      </c>
      <c r="H835" s="21">
        <f t="shared" si="48"/>
        <v>48</v>
      </c>
      <c r="I835" s="113" t="s">
        <v>0</v>
      </c>
      <c r="J835" s="50"/>
      <c r="K835" s="50"/>
    </row>
    <row r="836" spans="1:11">
      <c r="A836" s="41" t="s">
        <v>1001</v>
      </c>
      <c r="B836" s="192" t="s">
        <v>1037</v>
      </c>
      <c r="C836" s="186">
        <v>11</v>
      </c>
      <c r="D836" s="113" t="s">
        <v>423</v>
      </c>
      <c r="E836" s="135">
        <v>0</v>
      </c>
      <c r="F836" s="191" t="s">
        <v>825</v>
      </c>
      <c r="G836" s="49">
        <v>8</v>
      </c>
      <c r="H836" s="21">
        <f t="shared" si="48"/>
        <v>56</v>
      </c>
      <c r="I836" s="107" t="s">
        <v>353</v>
      </c>
      <c r="J836" s="50"/>
      <c r="K836" s="50"/>
    </row>
    <row r="837" spans="1:11">
      <c r="A837" s="41" t="s">
        <v>1001</v>
      </c>
      <c r="B837" s="192" t="s">
        <v>1037</v>
      </c>
      <c r="C837" s="186">
        <v>12</v>
      </c>
      <c r="D837" s="192" t="s">
        <v>1038</v>
      </c>
      <c r="E837" s="18">
        <v>0</v>
      </c>
      <c r="F837" s="193" t="s">
        <v>998</v>
      </c>
      <c r="G837" s="194">
        <v>6</v>
      </c>
      <c r="H837" s="21">
        <f t="shared" si="48"/>
        <v>62</v>
      </c>
      <c r="I837" s="113" t="s">
        <v>1039</v>
      </c>
      <c r="J837" s="50"/>
      <c r="K837" s="50"/>
    </row>
    <row r="838" spans="1:11">
      <c r="A838" s="41" t="s">
        <v>1001</v>
      </c>
      <c r="B838" s="192" t="s">
        <v>1037</v>
      </c>
      <c r="C838" s="186">
        <v>13</v>
      </c>
      <c r="D838" s="192" t="s">
        <v>1040</v>
      </c>
      <c r="E838" s="18">
        <v>0</v>
      </c>
      <c r="F838" s="193" t="s">
        <v>1006</v>
      </c>
      <c r="G838" s="194">
        <v>10</v>
      </c>
      <c r="H838" s="21">
        <f t="shared" si="48"/>
        <v>72</v>
      </c>
      <c r="I838" s="113" t="s">
        <v>1009</v>
      </c>
      <c r="J838" s="50"/>
      <c r="K838" s="50"/>
    </row>
    <row r="839" spans="1:11">
      <c r="A839" s="41" t="s">
        <v>1001</v>
      </c>
      <c r="B839" s="192" t="s">
        <v>1037</v>
      </c>
      <c r="C839" s="186">
        <v>14</v>
      </c>
      <c r="D839" s="192" t="s">
        <v>1041</v>
      </c>
      <c r="E839" s="18">
        <v>0</v>
      </c>
      <c r="F839" s="193" t="s">
        <v>1006</v>
      </c>
      <c r="G839" s="194">
        <v>1</v>
      </c>
      <c r="H839" s="21">
        <f t="shared" si="48"/>
        <v>73</v>
      </c>
      <c r="I839" s="113" t="s">
        <v>1042</v>
      </c>
      <c r="J839" s="50"/>
      <c r="K839" s="50"/>
    </row>
    <row r="840" spans="1:11">
      <c r="A840" s="41" t="s">
        <v>1001</v>
      </c>
      <c r="B840" s="192" t="s">
        <v>1037</v>
      </c>
      <c r="C840" s="186">
        <v>15</v>
      </c>
      <c r="D840" s="192" t="s">
        <v>1043</v>
      </c>
      <c r="E840" s="18">
        <v>0</v>
      </c>
      <c r="F840" s="193" t="s">
        <v>1006</v>
      </c>
      <c r="G840" s="194">
        <v>4</v>
      </c>
      <c r="H840" s="21">
        <f t="shared" si="48"/>
        <v>77</v>
      </c>
      <c r="I840" s="113" t="s">
        <v>1044</v>
      </c>
      <c r="J840" s="50"/>
      <c r="K840" s="50"/>
    </row>
    <row r="841" spans="1:11">
      <c r="A841" s="41" t="s">
        <v>1001</v>
      </c>
      <c r="B841" s="192" t="s">
        <v>1037</v>
      </c>
      <c r="C841" s="186">
        <v>16</v>
      </c>
      <c r="D841" s="192" t="s">
        <v>1045</v>
      </c>
      <c r="E841" s="18">
        <v>0</v>
      </c>
      <c r="F841" s="193" t="s">
        <v>1006</v>
      </c>
      <c r="G841" s="194">
        <v>4</v>
      </c>
      <c r="H841" s="21">
        <f t="shared" si="48"/>
        <v>81</v>
      </c>
      <c r="I841" s="113" t="s">
        <v>1044</v>
      </c>
      <c r="J841" s="50"/>
      <c r="K841" s="50"/>
    </row>
    <row r="842" spans="1:11">
      <c r="A842" s="41" t="s">
        <v>1001</v>
      </c>
      <c r="B842" s="192" t="s">
        <v>1037</v>
      </c>
      <c r="C842" s="186">
        <v>17</v>
      </c>
      <c r="D842" s="192" t="s">
        <v>939</v>
      </c>
      <c r="E842" s="18">
        <v>0</v>
      </c>
      <c r="F842" s="193" t="s">
        <v>1006</v>
      </c>
      <c r="G842" s="194">
        <v>12</v>
      </c>
      <c r="H842" s="21">
        <f t="shared" si="48"/>
        <v>93</v>
      </c>
      <c r="I842" s="113" t="s">
        <v>1046</v>
      </c>
      <c r="J842" s="50"/>
      <c r="K842" s="50"/>
    </row>
    <row r="843" spans="1:11">
      <c r="A843" s="41" t="s">
        <v>1001</v>
      </c>
      <c r="B843" s="192" t="s">
        <v>1037</v>
      </c>
      <c r="C843" s="186">
        <v>18</v>
      </c>
      <c r="D843" s="192" t="s">
        <v>1047</v>
      </c>
      <c r="E843" s="18">
        <v>0</v>
      </c>
      <c r="F843" s="193" t="s">
        <v>998</v>
      </c>
      <c r="G843" s="194">
        <v>15</v>
      </c>
      <c r="H843" s="21">
        <f t="shared" si="48"/>
        <v>108</v>
      </c>
      <c r="I843" s="113"/>
      <c r="J843" s="50"/>
      <c r="K843" s="50"/>
    </row>
    <row r="844" spans="1:11">
      <c r="A844" s="41" t="s">
        <v>1001</v>
      </c>
      <c r="B844" s="192" t="s">
        <v>1037</v>
      </c>
      <c r="C844" s="186">
        <v>19</v>
      </c>
      <c r="D844" s="192" t="s">
        <v>1048</v>
      </c>
      <c r="E844" s="18">
        <v>3</v>
      </c>
      <c r="F844" s="193" t="s">
        <v>999</v>
      </c>
      <c r="G844" s="194">
        <v>5</v>
      </c>
      <c r="H844" s="21">
        <f t="shared" si="48"/>
        <v>113</v>
      </c>
      <c r="I844" s="113" t="s">
        <v>1010</v>
      </c>
      <c r="J844" s="50"/>
      <c r="K844" s="50"/>
    </row>
    <row r="845" spans="1:11">
      <c r="A845" s="41" t="s">
        <v>1001</v>
      </c>
      <c r="B845" s="192" t="s">
        <v>1037</v>
      </c>
      <c r="C845" s="186">
        <v>20</v>
      </c>
      <c r="D845" s="192" t="s">
        <v>1049</v>
      </c>
      <c r="E845" s="18">
        <v>0</v>
      </c>
      <c r="F845" s="193" t="s">
        <v>998</v>
      </c>
      <c r="G845" s="194">
        <v>7</v>
      </c>
      <c r="H845" s="21">
        <f t="shared" si="48"/>
        <v>120</v>
      </c>
      <c r="I845" s="113">
        <v>9999999</v>
      </c>
      <c r="J845" s="50"/>
      <c r="K845" s="50"/>
    </row>
    <row r="846" spans="1:11">
      <c r="A846" s="41" t="s">
        <v>1001</v>
      </c>
      <c r="B846" s="192" t="s">
        <v>1037</v>
      </c>
      <c r="C846" s="186">
        <v>21</v>
      </c>
      <c r="D846" s="192" t="s">
        <v>1050</v>
      </c>
      <c r="E846" s="18">
        <v>0</v>
      </c>
      <c r="F846" s="193" t="s">
        <v>998</v>
      </c>
      <c r="G846" s="194">
        <v>18</v>
      </c>
      <c r="H846" s="21">
        <f t="shared" si="48"/>
        <v>138</v>
      </c>
      <c r="I846" s="113"/>
      <c r="J846" s="50"/>
      <c r="K846" s="50"/>
    </row>
    <row r="847" spans="1:11">
      <c r="A847" s="41" t="s">
        <v>1001</v>
      </c>
      <c r="B847" s="192" t="s">
        <v>1037</v>
      </c>
      <c r="C847" s="186">
        <v>22</v>
      </c>
      <c r="D847" s="192" t="s">
        <v>1051</v>
      </c>
      <c r="E847" s="18">
        <v>0</v>
      </c>
      <c r="F847" s="193" t="s">
        <v>1006</v>
      </c>
      <c r="G847" s="194">
        <v>1</v>
      </c>
      <c r="H847" s="21">
        <f t="shared" si="48"/>
        <v>139</v>
      </c>
      <c r="I847" s="113" t="s">
        <v>1052</v>
      </c>
      <c r="J847" s="50"/>
      <c r="K847" s="50"/>
    </row>
    <row r="848" spans="1:11">
      <c r="A848" s="41" t="s">
        <v>1001</v>
      </c>
      <c r="B848" s="192" t="s">
        <v>1037</v>
      </c>
      <c r="C848" s="186">
        <v>23</v>
      </c>
      <c r="D848" s="192" t="s">
        <v>1053</v>
      </c>
      <c r="E848" s="18">
        <v>0</v>
      </c>
      <c r="F848" s="193" t="s">
        <v>1006</v>
      </c>
      <c r="G848" s="194">
        <v>8</v>
      </c>
      <c r="H848" s="21">
        <f t="shared" si="48"/>
        <v>147</v>
      </c>
      <c r="I848" s="113" t="s">
        <v>1007</v>
      </c>
      <c r="J848" s="50"/>
      <c r="K848" s="50"/>
    </row>
    <row r="849" spans="1:11">
      <c r="A849" s="41" t="s">
        <v>1001</v>
      </c>
      <c r="B849" s="192" t="s">
        <v>1037</v>
      </c>
      <c r="C849" s="186">
        <v>24</v>
      </c>
      <c r="D849" s="192" t="s">
        <v>1011</v>
      </c>
      <c r="E849" s="18">
        <v>3</v>
      </c>
      <c r="F849" s="193" t="s">
        <v>999</v>
      </c>
      <c r="G849" s="194">
        <v>5</v>
      </c>
      <c r="H849" s="21">
        <f t="shared" si="48"/>
        <v>152</v>
      </c>
      <c r="I849" s="113" t="s">
        <v>1010</v>
      </c>
      <c r="J849" s="50"/>
      <c r="K849" s="50"/>
    </row>
    <row r="850" spans="1:11">
      <c r="A850" s="41" t="s">
        <v>1001</v>
      </c>
      <c r="B850" s="192" t="s">
        <v>1037</v>
      </c>
      <c r="C850" s="186">
        <v>25</v>
      </c>
      <c r="D850" s="192" t="s">
        <v>1012</v>
      </c>
      <c r="E850" s="18">
        <v>0</v>
      </c>
      <c r="F850" s="193" t="s">
        <v>998</v>
      </c>
      <c r="G850" s="194">
        <v>7</v>
      </c>
      <c r="H850" s="21">
        <f t="shared" si="48"/>
        <v>159</v>
      </c>
      <c r="I850" s="113">
        <v>9999999</v>
      </c>
      <c r="J850" s="50"/>
      <c r="K850" s="50"/>
    </row>
    <row r="851" spans="1:11">
      <c r="A851" s="41" t="s">
        <v>1001</v>
      </c>
      <c r="B851" s="192" t="s">
        <v>1037</v>
      </c>
      <c r="C851" s="186">
        <v>26</v>
      </c>
      <c r="D851" s="113" t="s">
        <v>881</v>
      </c>
      <c r="E851" s="18">
        <v>0</v>
      </c>
      <c r="F851" s="193" t="s">
        <v>1006</v>
      </c>
      <c r="G851" s="194">
        <v>200</v>
      </c>
      <c r="H851" s="21">
        <f t="shared" si="48"/>
        <v>359</v>
      </c>
      <c r="I851" s="113"/>
      <c r="J851" s="50"/>
      <c r="K851" s="50"/>
    </row>
    <row r="852" spans="1:11">
      <c r="A852" s="41" t="s">
        <v>1001</v>
      </c>
      <c r="B852" s="195" t="s">
        <v>1037</v>
      </c>
      <c r="C852" s="154">
        <v>27</v>
      </c>
      <c r="D852" s="108" t="s">
        <v>39</v>
      </c>
      <c r="E852" s="196">
        <v>0</v>
      </c>
      <c r="F852" s="197" t="s">
        <v>825</v>
      </c>
      <c r="G852" s="198">
        <v>1</v>
      </c>
      <c r="H852" s="114">
        <f t="shared" si="48"/>
        <v>360</v>
      </c>
      <c r="I852" s="114"/>
      <c r="J852" s="114"/>
      <c r="K852" s="114"/>
    </row>
    <row r="853" spans="1:11">
      <c r="A853" s="41" t="s">
        <v>1002</v>
      </c>
      <c r="B853" s="192" t="s">
        <v>1054</v>
      </c>
      <c r="C853" s="186">
        <v>1</v>
      </c>
      <c r="D853" s="111" t="s">
        <v>389</v>
      </c>
      <c r="E853" s="188">
        <v>0</v>
      </c>
      <c r="F853" s="189" t="s">
        <v>825</v>
      </c>
      <c r="G853" s="190">
        <v>2</v>
      </c>
      <c r="H853" s="40">
        <v>2</v>
      </c>
      <c r="I853" s="111" t="s">
        <v>121</v>
      </c>
      <c r="J853" s="50"/>
      <c r="K853" s="50"/>
    </row>
    <row r="854" spans="1:11">
      <c r="A854" s="41" t="s">
        <v>1002</v>
      </c>
      <c r="B854" s="192" t="s">
        <v>1054</v>
      </c>
      <c r="C854" s="186">
        <v>2</v>
      </c>
      <c r="D854" s="113" t="s">
        <v>929</v>
      </c>
      <c r="E854" s="188">
        <v>0</v>
      </c>
      <c r="F854" s="191" t="s">
        <v>825</v>
      </c>
      <c r="G854" s="49">
        <v>3</v>
      </c>
      <c r="H854" s="21">
        <f t="shared" ref="H854:H863" si="49">H853+G854</f>
        <v>5</v>
      </c>
      <c r="I854" s="113" t="s">
        <v>1459</v>
      </c>
      <c r="J854" s="50"/>
      <c r="K854" s="50"/>
    </row>
    <row r="855" spans="1:11">
      <c r="A855" s="41" t="s">
        <v>1002</v>
      </c>
      <c r="B855" s="192" t="s">
        <v>1054</v>
      </c>
      <c r="C855" s="186">
        <v>3</v>
      </c>
      <c r="D855" s="113" t="s">
        <v>741</v>
      </c>
      <c r="E855" s="135">
        <v>0</v>
      </c>
      <c r="F855" s="191" t="s">
        <v>825</v>
      </c>
      <c r="G855" s="49">
        <v>4</v>
      </c>
      <c r="H855" s="21">
        <f t="shared" si="49"/>
        <v>9</v>
      </c>
      <c r="I855" s="107" t="s">
        <v>1004</v>
      </c>
      <c r="J855" s="50"/>
      <c r="K855" s="50"/>
    </row>
    <row r="856" spans="1:11">
      <c r="A856" s="41" t="s">
        <v>1002</v>
      </c>
      <c r="B856" s="192" t="s">
        <v>1054</v>
      </c>
      <c r="C856" s="186">
        <v>4</v>
      </c>
      <c r="D856" s="113" t="s">
        <v>505</v>
      </c>
      <c r="E856" s="135">
        <v>0</v>
      </c>
      <c r="F856" s="191" t="s">
        <v>806</v>
      </c>
      <c r="G856" s="49">
        <v>6</v>
      </c>
      <c r="H856" s="21">
        <f t="shared" si="49"/>
        <v>15</v>
      </c>
      <c r="I856" s="107" t="s">
        <v>144</v>
      </c>
      <c r="J856" s="50"/>
      <c r="K856" s="50"/>
    </row>
    <row r="857" spans="1:11">
      <c r="A857" s="41" t="s">
        <v>1002</v>
      </c>
      <c r="B857" s="192" t="s">
        <v>1054</v>
      </c>
      <c r="C857" s="186">
        <v>5</v>
      </c>
      <c r="D857" s="113" t="s">
        <v>506</v>
      </c>
      <c r="E857" s="135">
        <v>0</v>
      </c>
      <c r="F857" s="191" t="s">
        <v>825</v>
      </c>
      <c r="G857" s="49">
        <v>2</v>
      </c>
      <c r="H857" s="21">
        <f t="shared" si="49"/>
        <v>17</v>
      </c>
      <c r="I857" s="107" t="s">
        <v>809</v>
      </c>
      <c r="J857" s="50"/>
      <c r="K857" s="50"/>
    </row>
    <row r="858" spans="1:11">
      <c r="A858" s="41" t="s">
        <v>1002</v>
      </c>
      <c r="B858" s="192" t="s">
        <v>1054</v>
      </c>
      <c r="C858" s="186">
        <v>6</v>
      </c>
      <c r="D858" s="113" t="s">
        <v>404</v>
      </c>
      <c r="E858" s="135">
        <v>0</v>
      </c>
      <c r="F858" s="191" t="s">
        <v>806</v>
      </c>
      <c r="G858" s="49">
        <v>6</v>
      </c>
      <c r="H858" s="21">
        <f t="shared" si="49"/>
        <v>23</v>
      </c>
      <c r="I858" s="107" t="s">
        <v>144</v>
      </c>
      <c r="J858" s="50"/>
      <c r="K858" s="50"/>
    </row>
    <row r="859" spans="1:11">
      <c r="A859" s="41" t="s">
        <v>1002</v>
      </c>
      <c r="B859" s="192" t="s">
        <v>1054</v>
      </c>
      <c r="C859" s="186">
        <v>7</v>
      </c>
      <c r="D859" s="113" t="s">
        <v>568</v>
      </c>
      <c r="E859" s="135">
        <v>0</v>
      </c>
      <c r="F859" s="191" t="s">
        <v>825</v>
      </c>
      <c r="G859" s="49">
        <v>14</v>
      </c>
      <c r="H859" s="21">
        <f t="shared" si="49"/>
        <v>37</v>
      </c>
      <c r="I859" s="107" t="s">
        <v>359</v>
      </c>
      <c r="J859" s="50"/>
      <c r="K859" s="50"/>
    </row>
    <row r="860" spans="1:11">
      <c r="A860" s="41" t="s">
        <v>1002</v>
      </c>
      <c r="B860" s="192" t="s">
        <v>1054</v>
      </c>
      <c r="C860" s="186">
        <v>8</v>
      </c>
      <c r="D860" s="113" t="s">
        <v>426</v>
      </c>
      <c r="E860" s="135">
        <v>0</v>
      </c>
      <c r="F860" s="191" t="s">
        <v>825</v>
      </c>
      <c r="G860" s="49">
        <v>3</v>
      </c>
      <c r="H860" s="21">
        <f t="shared" si="49"/>
        <v>40</v>
      </c>
      <c r="I860" s="107" t="s">
        <v>1013</v>
      </c>
      <c r="J860" s="50"/>
      <c r="K860" s="50"/>
    </row>
    <row r="861" spans="1:11">
      <c r="A861" s="41" t="s">
        <v>1002</v>
      </c>
      <c r="B861" s="192" t="s">
        <v>1054</v>
      </c>
      <c r="C861" s="186">
        <v>9</v>
      </c>
      <c r="D861" s="113" t="s">
        <v>461</v>
      </c>
      <c r="E861" s="135">
        <v>0</v>
      </c>
      <c r="F861" s="191" t="s">
        <v>825</v>
      </c>
      <c r="G861" s="49">
        <v>2</v>
      </c>
      <c r="H861" s="21">
        <f t="shared" si="49"/>
        <v>42</v>
      </c>
      <c r="I861" s="107" t="s">
        <v>322</v>
      </c>
      <c r="J861" s="50"/>
      <c r="K861" s="50"/>
    </row>
    <row r="862" spans="1:11" ht="22.5">
      <c r="A862" s="41" t="s">
        <v>1002</v>
      </c>
      <c r="B862" s="192" t="s">
        <v>1054</v>
      </c>
      <c r="C862" s="186">
        <v>10</v>
      </c>
      <c r="D862" s="113" t="s">
        <v>419</v>
      </c>
      <c r="E862" s="135">
        <v>0</v>
      </c>
      <c r="F862" s="191" t="s">
        <v>806</v>
      </c>
      <c r="G862" s="49">
        <v>6</v>
      </c>
      <c r="H862" s="21">
        <f t="shared" si="49"/>
        <v>48</v>
      </c>
      <c r="I862" s="113" t="s">
        <v>0</v>
      </c>
      <c r="J862" s="50"/>
      <c r="K862" s="50"/>
    </row>
    <row r="863" spans="1:11">
      <c r="A863" s="41" t="s">
        <v>1002</v>
      </c>
      <c r="B863" s="192" t="s">
        <v>1054</v>
      </c>
      <c r="C863" s="186">
        <v>11</v>
      </c>
      <c r="D863" s="113" t="s">
        <v>881</v>
      </c>
      <c r="E863" s="18">
        <v>0</v>
      </c>
      <c r="F863" s="193" t="s">
        <v>1006</v>
      </c>
      <c r="G863" s="194">
        <v>311</v>
      </c>
      <c r="H863" s="21">
        <f t="shared" si="49"/>
        <v>359</v>
      </c>
      <c r="I863" s="50"/>
      <c r="J863" s="50"/>
      <c r="K863" s="50"/>
    </row>
    <row r="864" spans="1:11">
      <c r="A864" s="41" t="s">
        <v>1002</v>
      </c>
      <c r="B864" s="195" t="s">
        <v>1054</v>
      </c>
      <c r="C864" s="154">
        <v>12</v>
      </c>
      <c r="D864" s="108" t="s">
        <v>39</v>
      </c>
      <c r="E864" s="196">
        <v>0</v>
      </c>
      <c r="F864" s="197" t="s">
        <v>825</v>
      </c>
      <c r="G864" s="198">
        <v>1</v>
      </c>
      <c r="H864" s="114">
        <f>H863+G864</f>
        <v>360</v>
      </c>
      <c r="I864" s="114"/>
      <c r="J864" s="114"/>
      <c r="K864" s="114"/>
    </row>
    <row r="865" spans="1:11">
      <c r="A865" s="41" t="s">
        <v>1003</v>
      </c>
      <c r="B865" s="192" t="s">
        <v>1055</v>
      </c>
      <c r="C865" s="186">
        <v>1</v>
      </c>
      <c r="D865" s="111" t="s">
        <v>389</v>
      </c>
      <c r="E865" s="188">
        <v>0</v>
      </c>
      <c r="F865" s="189" t="s">
        <v>825</v>
      </c>
      <c r="G865" s="190">
        <v>2</v>
      </c>
      <c r="H865" s="40">
        <v>2</v>
      </c>
      <c r="I865" s="111" t="s">
        <v>121</v>
      </c>
      <c r="J865" s="50"/>
      <c r="K865" s="50"/>
    </row>
    <row r="866" spans="1:11">
      <c r="A866" s="41" t="s">
        <v>1003</v>
      </c>
      <c r="B866" s="192" t="s">
        <v>1055</v>
      </c>
      <c r="C866" s="186">
        <v>2</v>
      </c>
      <c r="D866" s="113" t="s">
        <v>929</v>
      </c>
      <c r="E866" s="188">
        <v>0</v>
      </c>
      <c r="F866" s="191" t="s">
        <v>825</v>
      </c>
      <c r="G866" s="49">
        <v>3</v>
      </c>
      <c r="H866" s="21">
        <f t="shared" ref="H866:H876" si="50">H865+G866</f>
        <v>5</v>
      </c>
      <c r="I866" s="113" t="s">
        <v>1459</v>
      </c>
      <c r="J866" s="50"/>
      <c r="K866" s="50"/>
    </row>
    <row r="867" spans="1:11">
      <c r="A867" s="41" t="s">
        <v>1003</v>
      </c>
      <c r="B867" s="192" t="s">
        <v>1055</v>
      </c>
      <c r="C867" s="186">
        <v>3</v>
      </c>
      <c r="D867" s="113" t="s">
        <v>741</v>
      </c>
      <c r="E867" s="135">
        <v>0</v>
      </c>
      <c r="F867" s="191" t="s">
        <v>825</v>
      </c>
      <c r="G867" s="49">
        <v>4</v>
      </c>
      <c r="H867" s="21">
        <f t="shared" si="50"/>
        <v>9</v>
      </c>
      <c r="I867" s="107" t="s">
        <v>1004</v>
      </c>
      <c r="J867" s="50"/>
      <c r="K867" s="50"/>
    </row>
    <row r="868" spans="1:11">
      <c r="A868" s="41" t="s">
        <v>1003</v>
      </c>
      <c r="B868" s="192" t="s">
        <v>1055</v>
      </c>
      <c r="C868" s="186">
        <v>4</v>
      </c>
      <c r="D868" s="113" t="s">
        <v>505</v>
      </c>
      <c r="E868" s="135">
        <v>0</v>
      </c>
      <c r="F868" s="191" t="s">
        <v>806</v>
      </c>
      <c r="G868" s="49">
        <v>6</v>
      </c>
      <c r="H868" s="21">
        <f t="shared" si="50"/>
        <v>15</v>
      </c>
      <c r="I868" s="107" t="s">
        <v>144</v>
      </c>
      <c r="J868" s="50"/>
      <c r="K868" s="50"/>
    </row>
    <row r="869" spans="1:11">
      <c r="A869" s="41" t="s">
        <v>1003</v>
      </c>
      <c r="B869" s="192" t="s">
        <v>1055</v>
      </c>
      <c r="C869" s="186">
        <v>5</v>
      </c>
      <c r="D869" s="113" t="s">
        <v>506</v>
      </c>
      <c r="E869" s="135">
        <v>0</v>
      </c>
      <c r="F869" s="191" t="s">
        <v>825</v>
      </c>
      <c r="G869" s="49">
        <v>2</v>
      </c>
      <c r="H869" s="21">
        <f t="shared" si="50"/>
        <v>17</v>
      </c>
      <c r="I869" s="107" t="s">
        <v>809</v>
      </c>
      <c r="J869" s="50"/>
      <c r="K869" s="50"/>
    </row>
    <row r="870" spans="1:11">
      <c r="A870" s="41" t="s">
        <v>1003</v>
      </c>
      <c r="B870" s="192" t="s">
        <v>1055</v>
      </c>
      <c r="C870" s="186">
        <v>6</v>
      </c>
      <c r="D870" s="113" t="s">
        <v>404</v>
      </c>
      <c r="E870" s="135">
        <v>0</v>
      </c>
      <c r="F870" s="191" t="s">
        <v>806</v>
      </c>
      <c r="G870" s="49">
        <v>6</v>
      </c>
      <c r="H870" s="21">
        <f t="shared" si="50"/>
        <v>23</v>
      </c>
      <c r="I870" s="107" t="s">
        <v>144</v>
      </c>
      <c r="J870" s="50"/>
      <c r="K870" s="50"/>
    </row>
    <row r="871" spans="1:11">
      <c r="A871" s="41" t="s">
        <v>1003</v>
      </c>
      <c r="B871" s="192" t="s">
        <v>1055</v>
      </c>
      <c r="C871" s="186">
        <v>7</v>
      </c>
      <c r="D871" s="113" t="s">
        <v>568</v>
      </c>
      <c r="E871" s="135">
        <v>0</v>
      </c>
      <c r="F871" s="191" t="s">
        <v>825</v>
      </c>
      <c r="G871" s="49">
        <v>14</v>
      </c>
      <c r="H871" s="21">
        <f t="shared" si="50"/>
        <v>37</v>
      </c>
      <c r="I871" s="107" t="s">
        <v>359</v>
      </c>
      <c r="J871" s="50"/>
      <c r="K871" s="50"/>
    </row>
    <row r="872" spans="1:11">
      <c r="A872" s="41" t="s">
        <v>1003</v>
      </c>
      <c r="B872" s="192" t="s">
        <v>1055</v>
      </c>
      <c r="C872" s="186">
        <v>8</v>
      </c>
      <c r="D872" s="113" t="s">
        <v>426</v>
      </c>
      <c r="E872" s="135">
        <v>0</v>
      </c>
      <c r="F872" s="191" t="s">
        <v>825</v>
      </c>
      <c r="G872" s="49">
        <v>3</v>
      </c>
      <c r="H872" s="21">
        <f t="shared" si="50"/>
        <v>40</v>
      </c>
      <c r="I872" s="107" t="s">
        <v>1014</v>
      </c>
      <c r="J872" s="50"/>
      <c r="K872" s="50"/>
    </row>
    <row r="873" spans="1:11">
      <c r="A873" s="41" t="s">
        <v>1003</v>
      </c>
      <c r="B873" s="192" t="s">
        <v>1055</v>
      </c>
      <c r="C873" s="186">
        <v>9</v>
      </c>
      <c r="D873" s="113" t="s">
        <v>461</v>
      </c>
      <c r="E873" s="135">
        <v>0</v>
      </c>
      <c r="F873" s="191" t="s">
        <v>825</v>
      </c>
      <c r="G873" s="49">
        <v>2</v>
      </c>
      <c r="H873" s="21">
        <f t="shared" si="50"/>
        <v>42</v>
      </c>
      <c r="I873" s="107" t="s">
        <v>322</v>
      </c>
      <c r="J873" s="50"/>
      <c r="K873" s="50"/>
    </row>
    <row r="874" spans="1:11" ht="22.5">
      <c r="A874" s="41" t="s">
        <v>1003</v>
      </c>
      <c r="B874" s="192" t="s">
        <v>1055</v>
      </c>
      <c r="C874" s="186">
        <v>10</v>
      </c>
      <c r="D874" s="113" t="s">
        <v>419</v>
      </c>
      <c r="E874" s="135">
        <v>0</v>
      </c>
      <c r="F874" s="191" t="s">
        <v>806</v>
      </c>
      <c r="G874" s="49">
        <v>6</v>
      </c>
      <c r="H874" s="21">
        <f t="shared" si="50"/>
        <v>48</v>
      </c>
      <c r="I874" s="113" t="s">
        <v>0</v>
      </c>
      <c r="J874" s="50"/>
      <c r="K874" s="50"/>
    </row>
    <row r="875" spans="1:11">
      <c r="A875" s="41" t="s">
        <v>1003</v>
      </c>
      <c r="B875" s="192" t="s">
        <v>1055</v>
      </c>
      <c r="C875" s="186">
        <v>11</v>
      </c>
      <c r="D875" s="113" t="s">
        <v>881</v>
      </c>
      <c r="E875" s="18">
        <v>0</v>
      </c>
      <c r="F875" s="193" t="s">
        <v>1006</v>
      </c>
      <c r="G875" s="194">
        <v>311</v>
      </c>
      <c r="H875" s="21">
        <f t="shared" si="50"/>
        <v>359</v>
      </c>
      <c r="I875" s="50"/>
      <c r="J875" s="50"/>
      <c r="K875" s="50"/>
    </row>
    <row r="876" spans="1:11">
      <c r="A876" s="41" t="s">
        <v>1003</v>
      </c>
      <c r="B876" s="195" t="s">
        <v>1055</v>
      </c>
      <c r="C876" s="154">
        <v>12</v>
      </c>
      <c r="D876" s="108" t="s">
        <v>39</v>
      </c>
      <c r="E876" s="196">
        <v>0</v>
      </c>
      <c r="F876" s="197" t="s">
        <v>825</v>
      </c>
      <c r="G876" s="198">
        <v>1</v>
      </c>
      <c r="H876" s="114">
        <f t="shared" si="50"/>
        <v>360</v>
      </c>
      <c r="I876" s="114"/>
      <c r="J876" s="114"/>
      <c r="K876" s="114"/>
    </row>
    <row r="877" spans="1:11">
      <c r="A877" s="41" t="s">
        <v>928</v>
      </c>
      <c r="B877" s="44" t="s">
        <v>258</v>
      </c>
      <c r="C877" s="42">
        <v>1</v>
      </c>
      <c r="D877" s="111" t="s">
        <v>930</v>
      </c>
      <c r="E877" s="123">
        <v>0</v>
      </c>
      <c r="F877" s="162" t="s">
        <v>825</v>
      </c>
      <c r="G877" s="40">
        <v>2</v>
      </c>
      <c r="H877" s="40">
        <v>2</v>
      </c>
      <c r="I877" s="111" t="s">
        <v>1460</v>
      </c>
      <c r="J877" s="40"/>
    </row>
    <row r="878" spans="1:11">
      <c r="A878" s="41" t="s">
        <v>797</v>
      </c>
      <c r="B878" s="44" t="s">
        <v>258</v>
      </c>
      <c r="C878" s="25">
        <v>2</v>
      </c>
      <c r="D878" s="111" t="s">
        <v>929</v>
      </c>
      <c r="E878" s="40">
        <v>0</v>
      </c>
      <c r="F878" s="160" t="s">
        <v>825</v>
      </c>
      <c r="G878" s="40">
        <v>3</v>
      </c>
      <c r="H878" s="40">
        <f t="shared" ref="H878:H888" si="51">H877+G878</f>
        <v>5</v>
      </c>
      <c r="I878" s="111" t="s">
        <v>1461</v>
      </c>
      <c r="J878" s="50"/>
    </row>
    <row r="879" spans="1:11">
      <c r="A879" s="41" t="s">
        <v>797</v>
      </c>
      <c r="B879" s="48" t="s">
        <v>258</v>
      </c>
      <c r="C879" s="164">
        <v>3</v>
      </c>
      <c r="D879" s="113" t="s">
        <v>941</v>
      </c>
      <c r="E879" s="52">
        <v>0</v>
      </c>
      <c r="F879" s="160" t="s">
        <v>825</v>
      </c>
      <c r="G879" s="49">
        <v>1</v>
      </c>
      <c r="H879" s="40">
        <f t="shared" si="51"/>
        <v>6</v>
      </c>
      <c r="I879" s="113" t="s">
        <v>1462</v>
      </c>
      <c r="J879" s="50"/>
    </row>
    <row r="880" spans="1:11">
      <c r="A880" s="41" t="s">
        <v>797</v>
      </c>
      <c r="B880" s="48" t="s">
        <v>258</v>
      </c>
      <c r="C880" s="135">
        <v>4</v>
      </c>
      <c r="D880" s="113" t="s">
        <v>287</v>
      </c>
      <c r="E880" s="52">
        <v>0</v>
      </c>
      <c r="F880" s="160" t="s">
        <v>825</v>
      </c>
      <c r="G880" s="49">
        <v>8</v>
      </c>
      <c r="H880" s="21">
        <f t="shared" si="51"/>
        <v>14</v>
      </c>
      <c r="I880" s="113" t="s">
        <v>144</v>
      </c>
      <c r="J880" s="50"/>
    </row>
    <row r="881" spans="1:10">
      <c r="A881" s="41" t="s">
        <v>797</v>
      </c>
      <c r="B881" s="48" t="s">
        <v>258</v>
      </c>
      <c r="C881" s="164">
        <v>5</v>
      </c>
      <c r="D881" s="113" t="s">
        <v>286</v>
      </c>
      <c r="E881" s="52">
        <v>0</v>
      </c>
      <c r="F881" s="160" t="s">
        <v>825</v>
      </c>
      <c r="G881" s="49">
        <v>8</v>
      </c>
      <c r="H881" s="21">
        <f t="shared" si="51"/>
        <v>22</v>
      </c>
      <c r="I881" s="113" t="s">
        <v>144</v>
      </c>
      <c r="J881" s="50"/>
    </row>
    <row r="882" spans="1:10">
      <c r="A882" s="41" t="s">
        <v>797</v>
      </c>
      <c r="B882" s="48" t="s">
        <v>258</v>
      </c>
      <c r="C882" s="135">
        <v>6</v>
      </c>
      <c r="D882" s="113" t="s">
        <v>444</v>
      </c>
      <c r="E882" s="52">
        <v>0</v>
      </c>
      <c r="F882" s="160" t="s">
        <v>806</v>
      </c>
      <c r="G882" s="49">
        <v>2</v>
      </c>
      <c r="H882" s="21">
        <f t="shared" si="51"/>
        <v>24</v>
      </c>
      <c r="I882" s="113" t="s">
        <v>144</v>
      </c>
      <c r="J882" s="50"/>
    </row>
    <row r="883" spans="1:10">
      <c r="A883" s="41" t="s">
        <v>797</v>
      </c>
      <c r="B883" s="48" t="s">
        <v>258</v>
      </c>
      <c r="C883" s="164">
        <v>7</v>
      </c>
      <c r="D883" s="113" t="s">
        <v>775</v>
      </c>
      <c r="E883" s="52">
        <v>0</v>
      </c>
      <c r="F883" s="160" t="s">
        <v>806</v>
      </c>
      <c r="G883" s="49">
        <v>5</v>
      </c>
      <c r="H883" s="21">
        <f t="shared" si="51"/>
        <v>29</v>
      </c>
      <c r="I883" s="113" t="s">
        <v>144</v>
      </c>
      <c r="J883" s="50"/>
    </row>
    <row r="884" spans="1:10">
      <c r="A884" s="41" t="s">
        <v>797</v>
      </c>
      <c r="B884" s="48" t="s">
        <v>258</v>
      </c>
      <c r="C884" s="135">
        <v>8</v>
      </c>
      <c r="D884" s="113" t="s">
        <v>686</v>
      </c>
      <c r="E884" s="52">
        <v>0</v>
      </c>
      <c r="F884" s="160" t="s">
        <v>806</v>
      </c>
      <c r="G884" s="49">
        <v>10</v>
      </c>
      <c r="H884" s="21">
        <f t="shared" si="51"/>
        <v>39</v>
      </c>
      <c r="I884" s="113" t="s">
        <v>146</v>
      </c>
      <c r="J884" s="50"/>
    </row>
    <row r="885" spans="1:10">
      <c r="A885" s="41" t="s">
        <v>797</v>
      </c>
      <c r="B885" s="48" t="s">
        <v>258</v>
      </c>
      <c r="C885" s="164">
        <v>9</v>
      </c>
      <c r="D885" s="113" t="s">
        <v>778</v>
      </c>
      <c r="E885" s="52">
        <v>0</v>
      </c>
      <c r="F885" s="160" t="s">
        <v>806</v>
      </c>
      <c r="G885" s="49">
        <v>15</v>
      </c>
      <c r="H885" s="21">
        <f t="shared" si="51"/>
        <v>54</v>
      </c>
      <c r="I885" s="113" t="s">
        <v>124</v>
      </c>
      <c r="J885" s="50"/>
    </row>
    <row r="886" spans="1:10">
      <c r="A886" s="41" t="s">
        <v>797</v>
      </c>
      <c r="B886" s="48" t="s">
        <v>258</v>
      </c>
      <c r="C886" s="135">
        <v>10</v>
      </c>
      <c r="D886" s="113" t="s">
        <v>773</v>
      </c>
      <c r="E886" s="52">
        <v>0</v>
      </c>
      <c r="F886" s="160" t="s">
        <v>806</v>
      </c>
      <c r="G886" s="49">
        <v>4</v>
      </c>
      <c r="H886" s="21">
        <f t="shared" si="51"/>
        <v>58</v>
      </c>
      <c r="I886" s="113" t="s">
        <v>805</v>
      </c>
      <c r="J886" s="50"/>
    </row>
    <row r="887" spans="1:10">
      <c r="A887" s="41" t="s">
        <v>797</v>
      </c>
      <c r="B887" s="48" t="s">
        <v>258</v>
      </c>
      <c r="C887" s="164">
        <v>11</v>
      </c>
      <c r="D887" s="113" t="s">
        <v>856</v>
      </c>
      <c r="E887" s="52">
        <v>0</v>
      </c>
      <c r="F887" s="160" t="s">
        <v>825</v>
      </c>
      <c r="G887" s="49">
        <v>42</v>
      </c>
      <c r="H887" s="21">
        <f t="shared" si="51"/>
        <v>100</v>
      </c>
      <c r="I887" s="113"/>
      <c r="J887" s="50"/>
    </row>
    <row r="888" spans="1:10">
      <c r="A888" s="41" t="s">
        <v>797</v>
      </c>
      <c r="B888" s="108" t="s">
        <v>258</v>
      </c>
      <c r="C888" s="146">
        <v>12</v>
      </c>
      <c r="D888" s="108" t="s">
        <v>650</v>
      </c>
      <c r="E888" s="51">
        <v>0</v>
      </c>
      <c r="F888" s="161" t="s">
        <v>825</v>
      </c>
      <c r="G888" s="114">
        <v>1</v>
      </c>
      <c r="H888" s="114">
        <f t="shared" si="51"/>
        <v>101</v>
      </c>
      <c r="I888" s="108" t="s">
        <v>544</v>
      </c>
      <c r="J888" s="114"/>
    </row>
    <row r="889" spans="1:10">
      <c r="A889" s="41" t="s">
        <v>872</v>
      </c>
      <c r="B889" s="44" t="s">
        <v>954</v>
      </c>
      <c r="C889" s="42">
        <v>1</v>
      </c>
      <c r="D889" s="111" t="s">
        <v>930</v>
      </c>
      <c r="E889" s="123">
        <v>0</v>
      </c>
      <c r="F889" s="162" t="s">
        <v>825</v>
      </c>
      <c r="G889" s="40">
        <v>2</v>
      </c>
      <c r="H889" s="40">
        <v>2</v>
      </c>
      <c r="I889" s="111" t="s">
        <v>1460</v>
      </c>
      <c r="J889" s="40"/>
    </row>
    <row r="890" spans="1:10">
      <c r="A890" s="41" t="s">
        <v>872</v>
      </c>
      <c r="B890" s="44" t="s">
        <v>248</v>
      </c>
      <c r="C890" s="25">
        <v>2</v>
      </c>
      <c r="D890" s="111" t="s">
        <v>929</v>
      </c>
      <c r="E890" s="40">
        <v>0</v>
      </c>
      <c r="F890" s="160" t="s">
        <v>825</v>
      </c>
      <c r="G890" s="40">
        <v>3</v>
      </c>
      <c r="H890" s="40">
        <f t="shared" ref="H890:H901" si="52">H889+G890</f>
        <v>5</v>
      </c>
      <c r="I890" s="111" t="s">
        <v>1461</v>
      </c>
      <c r="J890" s="50"/>
    </row>
    <row r="891" spans="1:10">
      <c r="A891" s="41" t="s">
        <v>872</v>
      </c>
      <c r="B891" s="48" t="s">
        <v>248</v>
      </c>
      <c r="C891" s="164">
        <v>3</v>
      </c>
      <c r="D891" s="113" t="s">
        <v>941</v>
      </c>
      <c r="E891" s="52">
        <v>0</v>
      </c>
      <c r="F891" s="160" t="s">
        <v>825</v>
      </c>
      <c r="G891" s="49">
        <v>1</v>
      </c>
      <c r="H891" s="40">
        <f t="shared" si="52"/>
        <v>6</v>
      </c>
      <c r="I891" s="113" t="s">
        <v>1463</v>
      </c>
      <c r="J891" s="50"/>
    </row>
    <row r="892" spans="1:10">
      <c r="A892" s="41" t="s">
        <v>872</v>
      </c>
      <c r="B892" s="48" t="s">
        <v>248</v>
      </c>
      <c r="C892" s="135">
        <v>4</v>
      </c>
      <c r="D892" s="113" t="s">
        <v>530</v>
      </c>
      <c r="E892" s="52">
        <v>0</v>
      </c>
      <c r="F892" s="160" t="s">
        <v>825</v>
      </c>
      <c r="G892" s="49">
        <v>4</v>
      </c>
      <c r="H892" s="21">
        <f t="shared" si="52"/>
        <v>10</v>
      </c>
      <c r="I892" s="113" t="s">
        <v>144</v>
      </c>
      <c r="J892" s="50"/>
    </row>
    <row r="893" spans="1:10">
      <c r="A893" s="41" t="s">
        <v>872</v>
      </c>
      <c r="B893" s="48" t="s">
        <v>248</v>
      </c>
      <c r="C893" s="164">
        <v>5</v>
      </c>
      <c r="D893" s="113" t="s">
        <v>323</v>
      </c>
      <c r="E893" s="52">
        <v>0</v>
      </c>
      <c r="F893" s="160" t="s">
        <v>825</v>
      </c>
      <c r="G893" s="49">
        <v>8</v>
      </c>
      <c r="H893" s="21">
        <f t="shared" si="52"/>
        <v>18</v>
      </c>
      <c r="I893" s="113" t="s">
        <v>144</v>
      </c>
      <c r="J893" s="50"/>
    </row>
    <row r="894" spans="1:10">
      <c r="A894" s="41" t="s">
        <v>872</v>
      </c>
      <c r="B894" s="48" t="s">
        <v>248</v>
      </c>
      <c r="C894" s="135">
        <v>6</v>
      </c>
      <c r="D894" s="113" t="s">
        <v>695</v>
      </c>
      <c r="E894" s="52">
        <v>0</v>
      </c>
      <c r="F894" s="160" t="s">
        <v>806</v>
      </c>
      <c r="G894" s="49">
        <v>8</v>
      </c>
      <c r="H894" s="21">
        <f t="shared" si="52"/>
        <v>26</v>
      </c>
      <c r="I894" s="113" t="s">
        <v>144</v>
      </c>
      <c r="J894" s="50"/>
    </row>
    <row r="895" spans="1:10">
      <c r="A895" s="41" t="s">
        <v>872</v>
      </c>
      <c r="B895" s="48" t="s">
        <v>248</v>
      </c>
      <c r="C895" s="164">
        <v>7</v>
      </c>
      <c r="D895" s="113" t="s">
        <v>444</v>
      </c>
      <c r="E895" s="52">
        <v>0</v>
      </c>
      <c r="F895" s="160" t="s">
        <v>806</v>
      </c>
      <c r="G895" s="49">
        <v>2</v>
      </c>
      <c r="H895" s="21">
        <f t="shared" si="52"/>
        <v>28</v>
      </c>
      <c r="I895" s="113" t="s">
        <v>144</v>
      </c>
      <c r="J895" s="50"/>
    </row>
    <row r="896" spans="1:10">
      <c r="A896" s="41" t="s">
        <v>872</v>
      </c>
      <c r="B896" s="48" t="s">
        <v>248</v>
      </c>
      <c r="C896" s="135">
        <v>8</v>
      </c>
      <c r="D896" s="113" t="s">
        <v>493</v>
      </c>
      <c r="E896" s="52">
        <v>0</v>
      </c>
      <c r="F896" s="160" t="s">
        <v>806</v>
      </c>
      <c r="G896" s="49">
        <v>5</v>
      </c>
      <c r="H896" s="21">
        <f t="shared" si="52"/>
        <v>33</v>
      </c>
      <c r="I896" s="113" t="s">
        <v>144</v>
      </c>
      <c r="J896" s="50"/>
    </row>
    <row r="897" spans="1:10">
      <c r="A897" s="41" t="s">
        <v>872</v>
      </c>
      <c r="B897" s="48" t="s">
        <v>248</v>
      </c>
      <c r="C897" s="164">
        <v>9</v>
      </c>
      <c r="D897" s="113" t="s">
        <v>686</v>
      </c>
      <c r="E897" s="52">
        <v>0</v>
      </c>
      <c r="F897" s="160" t="s">
        <v>806</v>
      </c>
      <c r="G897" s="49">
        <v>10</v>
      </c>
      <c r="H897" s="21">
        <f t="shared" si="52"/>
        <v>43</v>
      </c>
      <c r="I897" s="113" t="s">
        <v>146</v>
      </c>
      <c r="J897" s="50"/>
    </row>
    <row r="898" spans="1:10">
      <c r="A898" s="41" t="s">
        <v>872</v>
      </c>
      <c r="B898" s="48" t="s">
        <v>248</v>
      </c>
      <c r="C898" s="135">
        <v>10</v>
      </c>
      <c r="D898" s="113" t="s">
        <v>778</v>
      </c>
      <c r="E898" s="52">
        <v>0</v>
      </c>
      <c r="F898" s="160" t="s">
        <v>806</v>
      </c>
      <c r="G898" s="49">
        <v>15</v>
      </c>
      <c r="H898" s="21">
        <f t="shared" si="52"/>
        <v>58</v>
      </c>
      <c r="I898" s="113" t="s">
        <v>124</v>
      </c>
      <c r="J898" s="50"/>
    </row>
    <row r="899" spans="1:10">
      <c r="A899" s="41" t="s">
        <v>872</v>
      </c>
      <c r="B899" s="48" t="s">
        <v>248</v>
      </c>
      <c r="C899" s="164">
        <v>11</v>
      </c>
      <c r="D899" s="113" t="s">
        <v>646</v>
      </c>
      <c r="E899" s="52">
        <v>0</v>
      </c>
      <c r="F899" s="160" t="s">
        <v>806</v>
      </c>
      <c r="G899" s="49">
        <v>4</v>
      </c>
      <c r="H899" s="21">
        <f t="shared" si="52"/>
        <v>62</v>
      </c>
      <c r="I899" s="113" t="s">
        <v>805</v>
      </c>
      <c r="J899" s="50"/>
    </row>
    <row r="900" spans="1:10">
      <c r="A900" s="41" t="s">
        <v>872</v>
      </c>
      <c r="B900" s="48" t="s">
        <v>248</v>
      </c>
      <c r="C900" s="135">
        <v>12</v>
      </c>
      <c r="D900" s="113" t="s">
        <v>856</v>
      </c>
      <c r="E900" s="52">
        <v>0</v>
      </c>
      <c r="F900" s="160" t="s">
        <v>825</v>
      </c>
      <c r="G900" s="49">
        <v>38</v>
      </c>
      <c r="H900" s="21">
        <f t="shared" si="52"/>
        <v>100</v>
      </c>
      <c r="I900" s="113" t="s">
        <v>144</v>
      </c>
      <c r="J900" s="50"/>
    </row>
    <row r="901" spans="1:10">
      <c r="A901" s="41" t="s">
        <v>872</v>
      </c>
      <c r="B901" s="108" t="s">
        <v>248</v>
      </c>
      <c r="C901" s="165">
        <v>13</v>
      </c>
      <c r="D901" s="108" t="s">
        <v>650</v>
      </c>
      <c r="E901" s="51">
        <v>0</v>
      </c>
      <c r="F901" s="161" t="s">
        <v>825</v>
      </c>
      <c r="G901" s="114">
        <v>1</v>
      </c>
      <c r="H901" s="114">
        <f t="shared" si="52"/>
        <v>101</v>
      </c>
      <c r="I901" s="108" t="s">
        <v>544</v>
      </c>
      <c r="J901" s="114"/>
    </row>
    <row r="902" spans="1:10">
      <c r="A902" s="41" t="s">
        <v>873</v>
      </c>
      <c r="B902" s="44" t="s">
        <v>295</v>
      </c>
      <c r="C902" s="42">
        <v>1</v>
      </c>
      <c r="D902" s="111" t="s">
        <v>942</v>
      </c>
      <c r="E902" s="123">
        <v>0</v>
      </c>
      <c r="F902" s="162" t="s">
        <v>825</v>
      </c>
      <c r="G902" s="40">
        <v>2</v>
      </c>
      <c r="H902" s="40">
        <v>2</v>
      </c>
      <c r="I902" s="111" t="s">
        <v>1464</v>
      </c>
      <c r="J902" s="40"/>
    </row>
    <row r="903" spans="1:10">
      <c r="A903" s="41" t="s">
        <v>873</v>
      </c>
      <c r="B903" s="44" t="s">
        <v>295</v>
      </c>
      <c r="C903" s="25">
        <v>2</v>
      </c>
      <c r="D903" s="111" t="s">
        <v>929</v>
      </c>
      <c r="E903" s="40">
        <v>0</v>
      </c>
      <c r="F903" s="160" t="s">
        <v>825</v>
      </c>
      <c r="G903" s="40">
        <v>3</v>
      </c>
      <c r="H903" s="40">
        <f t="shared" ref="H903:H916" si="53">H902+G903</f>
        <v>5</v>
      </c>
      <c r="I903" s="111" t="s">
        <v>1461</v>
      </c>
      <c r="J903" s="50"/>
    </row>
    <row r="904" spans="1:10">
      <c r="A904" s="41" t="s">
        <v>873</v>
      </c>
      <c r="B904" s="48" t="s">
        <v>295</v>
      </c>
      <c r="C904" s="164">
        <v>3</v>
      </c>
      <c r="D904" s="113" t="s">
        <v>941</v>
      </c>
      <c r="E904" s="52">
        <v>0</v>
      </c>
      <c r="F904" s="160" t="s">
        <v>825</v>
      </c>
      <c r="G904" s="52">
        <v>1</v>
      </c>
      <c r="H904" s="40">
        <f t="shared" si="53"/>
        <v>6</v>
      </c>
      <c r="I904" s="113" t="s">
        <v>1465</v>
      </c>
      <c r="J904" s="50"/>
    </row>
    <row r="905" spans="1:10">
      <c r="A905" s="41" t="s">
        <v>873</v>
      </c>
      <c r="B905" s="48" t="s">
        <v>295</v>
      </c>
      <c r="C905" s="135">
        <v>4</v>
      </c>
      <c r="D905" s="113" t="s">
        <v>323</v>
      </c>
      <c r="E905" s="52">
        <v>0</v>
      </c>
      <c r="F905" s="109" t="s">
        <v>825</v>
      </c>
      <c r="G905" s="52">
        <v>8</v>
      </c>
      <c r="H905" s="21">
        <f t="shared" si="53"/>
        <v>14</v>
      </c>
      <c r="I905" s="113" t="s">
        <v>144</v>
      </c>
      <c r="J905" s="50"/>
    </row>
    <row r="906" spans="1:10">
      <c r="A906" s="41" t="s">
        <v>873</v>
      </c>
      <c r="B906" s="48" t="s">
        <v>295</v>
      </c>
      <c r="C906" s="164">
        <v>5</v>
      </c>
      <c r="D906" s="113" t="s">
        <v>695</v>
      </c>
      <c r="E906" s="52">
        <v>0</v>
      </c>
      <c r="F906" s="109" t="s">
        <v>825</v>
      </c>
      <c r="G906" s="52">
        <v>8</v>
      </c>
      <c r="H906" s="21">
        <f t="shared" si="53"/>
        <v>22</v>
      </c>
      <c r="I906" s="113" t="s">
        <v>144</v>
      </c>
      <c r="J906" s="50"/>
    </row>
    <row r="907" spans="1:10">
      <c r="A907" s="41" t="s">
        <v>873</v>
      </c>
      <c r="B907" s="48" t="s">
        <v>295</v>
      </c>
      <c r="C907" s="135">
        <v>6</v>
      </c>
      <c r="D907" s="113" t="s">
        <v>444</v>
      </c>
      <c r="E907" s="52">
        <v>0</v>
      </c>
      <c r="F907" s="122" t="s">
        <v>806</v>
      </c>
      <c r="G907" s="52">
        <v>2</v>
      </c>
      <c r="H907" s="21">
        <f t="shared" si="53"/>
        <v>24</v>
      </c>
      <c r="I907" s="113" t="s">
        <v>144</v>
      </c>
      <c r="J907" s="50"/>
    </row>
    <row r="908" spans="1:10">
      <c r="A908" s="41" t="s">
        <v>873</v>
      </c>
      <c r="B908" s="48" t="s">
        <v>295</v>
      </c>
      <c r="C908" s="164">
        <v>7</v>
      </c>
      <c r="D908" s="113" t="s">
        <v>493</v>
      </c>
      <c r="E908" s="52">
        <v>0</v>
      </c>
      <c r="F908" s="122" t="s">
        <v>806</v>
      </c>
      <c r="G908" s="52">
        <v>5</v>
      </c>
      <c r="H908" s="21">
        <f t="shared" si="53"/>
        <v>29</v>
      </c>
      <c r="I908" s="113" t="s">
        <v>144</v>
      </c>
      <c r="J908" s="50"/>
    </row>
    <row r="909" spans="1:10">
      <c r="A909" s="41" t="s">
        <v>873</v>
      </c>
      <c r="B909" s="48" t="s">
        <v>295</v>
      </c>
      <c r="C909" s="135">
        <v>8</v>
      </c>
      <c r="D909" s="113" t="s">
        <v>686</v>
      </c>
      <c r="E909" s="52">
        <v>0</v>
      </c>
      <c r="F909" s="122" t="s">
        <v>806</v>
      </c>
      <c r="G909" s="52">
        <v>10</v>
      </c>
      <c r="H909" s="21">
        <f t="shared" si="53"/>
        <v>39</v>
      </c>
      <c r="I909" s="113" t="s">
        <v>144</v>
      </c>
      <c r="J909" s="50"/>
    </row>
    <row r="910" spans="1:10">
      <c r="A910" s="41" t="s">
        <v>873</v>
      </c>
      <c r="B910" s="48" t="s">
        <v>295</v>
      </c>
      <c r="C910" s="164">
        <v>9</v>
      </c>
      <c r="D910" s="113" t="s">
        <v>777</v>
      </c>
      <c r="E910" s="52">
        <v>0</v>
      </c>
      <c r="F910" s="122" t="s">
        <v>806</v>
      </c>
      <c r="G910" s="52">
        <v>15</v>
      </c>
      <c r="H910" s="21">
        <f t="shared" si="53"/>
        <v>54</v>
      </c>
      <c r="I910" s="113" t="s">
        <v>146</v>
      </c>
      <c r="J910" s="50"/>
    </row>
    <row r="911" spans="1:10">
      <c r="A911" s="41" t="s">
        <v>873</v>
      </c>
      <c r="B911" s="48" t="s">
        <v>295</v>
      </c>
      <c r="C911" s="135">
        <v>10</v>
      </c>
      <c r="D911" s="113" t="s">
        <v>412</v>
      </c>
      <c r="E911" s="52">
        <v>0</v>
      </c>
      <c r="F911" s="122" t="s">
        <v>806</v>
      </c>
      <c r="G911" s="52">
        <v>4</v>
      </c>
      <c r="H911" s="21">
        <f t="shared" si="53"/>
        <v>58</v>
      </c>
      <c r="I911" s="113" t="s">
        <v>124</v>
      </c>
      <c r="J911" s="50"/>
    </row>
    <row r="912" spans="1:10">
      <c r="A912" s="41" t="s">
        <v>873</v>
      </c>
      <c r="B912" s="48" t="s">
        <v>295</v>
      </c>
      <c r="C912" s="164">
        <v>11</v>
      </c>
      <c r="D912" s="113" t="s">
        <v>432</v>
      </c>
      <c r="E912" s="52">
        <v>0</v>
      </c>
      <c r="F912" s="122" t="s">
        <v>806</v>
      </c>
      <c r="G912" s="52">
        <v>4</v>
      </c>
      <c r="H912" s="21">
        <f t="shared" si="53"/>
        <v>62</v>
      </c>
      <c r="I912" s="113" t="s">
        <v>805</v>
      </c>
      <c r="J912" s="50"/>
    </row>
    <row r="913" spans="1:11">
      <c r="A913" s="41" t="s">
        <v>873</v>
      </c>
      <c r="B913" s="48" t="s">
        <v>295</v>
      </c>
      <c r="C913" s="135">
        <v>12</v>
      </c>
      <c r="D913" s="113" t="s">
        <v>678</v>
      </c>
      <c r="E913" s="52">
        <v>0</v>
      </c>
      <c r="F913" s="122" t="s">
        <v>806</v>
      </c>
      <c r="G913" s="52">
        <v>4</v>
      </c>
      <c r="H913" s="21">
        <f t="shared" si="53"/>
        <v>66</v>
      </c>
      <c r="I913" s="113"/>
      <c r="J913" s="50"/>
    </row>
    <row r="914" spans="1:11">
      <c r="A914" s="41" t="s">
        <v>873</v>
      </c>
      <c r="B914" s="48" t="s">
        <v>295</v>
      </c>
      <c r="C914" s="164">
        <v>13</v>
      </c>
      <c r="D914" s="113" t="s">
        <v>414</v>
      </c>
      <c r="E914" s="52">
        <v>0</v>
      </c>
      <c r="F914" s="122" t="s">
        <v>806</v>
      </c>
      <c r="G914" s="52">
        <v>4</v>
      </c>
      <c r="H914" s="21">
        <f t="shared" si="53"/>
        <v>70</v>
      </c>
      <c r="I914" s="113"/>
      <c r="J914" s="50"/>
    </row>
    <row r="915" spans="1:11">
      <c r="A915" s="41" t="s">
        <v>873</v>
      </c>
      <c r="B915" s="48" t="s">
        <v>295</v>
      </c>
      <c r="C915" s="135">
        <v>14</v>
      </c>
      <c r="D915" s="113" t="s">
        <v>856</v>
      </c>
      <c r="E915" s="52">
        <v>0</v>
      </c>
      <c r="F915" s="109" t="s">
        <v>825</v>
      </c>
      <c r="G915" s="52">
        <v>30</v>
      </c>
      <c r="H915" s="21">
        <f t="shared" si="53"/>
        <v>100</v>
      </c>
      <c r="I915" s="113"/>
      <c r="J915" s="50"/>
    </row>
    <row r="916" spans="1:11">
      <c r="A916" s="41" t="s">
        <v>873</v>
      </c>
      <c r="B916" s="108" t="s">
        <v>295</v>
      </c>
      <c r="C916" s="165">
        <v>15</v>
      </c>
      <c r="D916" s="108" t="s">
        <v>650</v>
      </c>
      <c r="E916" s="51">
        <v>0</v>
      </c>
      <c r="F916" s="121" t="s">
        <v>825</v>
      </c>
      <c r="G916" s="53">
        <v>1</v>
      </c>
      <c r="H916" s="114">
        <f t="shared" si="53"/>
        <v>101</v>
      </c>
      <c r="I916" s="112" t="s">
        <v>1191</v>
      </c>
      <c r="J916" s="114"/>
    </row>
    <row r="917" spans="1:11">
      <c r="A917" s="111" t="s">
        <v>1174</v>
      </c>
      <c r="B917" s="111" t="s">
        <v>1186</v>
      </c>
      <c r="C917" s="40">
        <v>1</v>
      </c>
      <c r="D917" s="111" t="s">
        <v>942</v>
      </c>
      <c r="E917" s="40">
        <v>0</v>
      </c>
      <c r="F917" s="189" t="s">
        <v>825</v>
      </c>
      <c r="G917" s="40">
        <v>2</v>
      </c>
      <c r="H917" s="40">
        <v>2</v>
      </c>
      <c r="I917" s="111" t="s">
        <v>1180</v>
      </c>
      <c r="J917" s="40"/>
      <c r="K917" s="40"/>
    </row>
    <row r="918" spans="1:11">
      <c r="A918" s="111" t="s">
        <v>1174</v>
      </c>
      <c r="B918" s="111" t="s">
        <v>1186</v>
      </c>
      <c r="C918" s="40">
        <v>2</v>
      </c>
      <c r="D918" s="111" t="s">
        <v>929</v>
      </c>
      <c r="E918" s="40">
        <v>0</v>
      </c>
      <c r="F918" s="191" t="s">
        <v>825</v>
      </c>
      <c r="G918" s="40">
        <v>3</v>
      </c>
      <c r="H918" s="40">
        <f t="shared" ref="H918:H923" si="54">H917+G918</f>
        <v>5</v>
      </c>
      <c r="I918" s="111" t="s">
        <v>967</v>
      </c>
      <c r="J918" s="40"/>
      <c r="K918" s="40"/>
    </row>
    <row r="919" spans="1:11">
      <c r="A919" s="111" t="s">
        <v>1174</v>
      </c>
      <c r="B919" s="111" t="s">
        <v>1186</v>
      </c>
      <c r="C919" s="185">
        <v>3</v>
      </c>
      <c r="D919" s="218" t="s">
        <v>1181</v>
      </c>
      <c r="E919" s="135">
        <v>0</v>
      </c>
      <c r="F919" s="191" t="s">
        <v>825</v>
      </c>
      <c r="G919" s="49">
        <v>12</v>
      </c>
      <c r="H919" s="40">
        <f t="shared" si="54"/>
        <v>17</v>
      </c>
      <c r="I919" s="107" t="s">
        <v>1188</v>
      </c>
      <c r="J919" s="50"/>
      <c r="K919" s="40"/>
    </row>
    <row r="920" spans="1:11" ht="22.5">
      <c r="A920" s="219" t="s">
        <v>1174</v>
      </c>
      <c r="B920" s="111" t="s">
        <v>1189</v>
      </c>
      <c r="C920" s="186">
        <v>4</v>
      </c>
      <c r="D920" s="220" t="s">
        <v>1182</v>
      </c>
      <c r="E920" s="221">
        <v>0</v>
      </c>
      <c r="F920" s="166" t="s">
        <v>825</v>
      </c>
      <c r="G920" s="222">
        <v>3</v>
      </c>
      <c r="H920" s="221">
        <f t="shared" si="54"/>
        <v>20</v>
      </c>
      <c r="I920" s="223" t="s">
        <v>1190</v>
      </c>
      <c r="J920" s="223"/>
      <c r="K920" s="224"/>
    </row>
    <row r="921" spans="1:11">
      <c r="A921" s="219" t="s">
        <v>1174</v>
      </c>
      <c r="B921" s="111" t="s">
        <v>1186</v>
      </c>
      <c r="C921" s="185">
        <v>5</v>
      </c>
      <c r="D921" s="220" t="s">
        <v>1183</v>
      </c>
      <c r="E921" s="221">
        <v>0</v>
      </c>
      <c r="F921" s="225" t="s">
        <v>806</v>
      </c>
      <c r="G921" s="222">
        <v>10</v>
      </c>
      <c r="H921" s="221">
        <f t="shared" si="54"/>
        <v>30</v>
      </c>
      <c r="I921" s="223" t="s">
        <v>1184</v>
      </c>
      <c r="J921" s="223"/>
      <c r="K921" s="224"/>
    </row>
    <row r="922" spans="1:11">
      <c r="A922" s="219" t="s">
        <v>1174</v>
      </c>
      <c r="B922" s="111" t="s">
        <v>1186</v>
      </c>
      <c r="C922" s="186">
        <v>6</v>
      </c>
      <c r="D922" s="226" t="s">
        <v>881</v>
      </c>
      <c r="E922" s="221">
        <v>0</v>
      </c>
      <c r="F922" s="166" t="s">
        <v>825</v>
      </c>
      <c r="G922" s="222">
        <v>19</v>
      </c>
      <c r="H922" s="221">
        <f t="shared" si="54"/>
        <v>49</v>
      </c>
      <c r="I922" s="223" t="s">
        <v>787</v>
      </c>
      <c r="J922" s="223"/>
      <c r="K922" s="224"/>
    </row>
    <row r="923" spans="1:11">
      <c r="A923" s="227" t="s">
        <v>1174</v>
      </c>
      <c r="B923" s="228" t="s">
        <v>1186</v>
      </c>
      <c r="C923" s="149">
        <v>7</v>
      </c>
      <c r="D923" s="229" t="s">
        <v>1185</v>
      </c>
      <c r="E923" s="230">
        <v>0</v>
      </c>
      <c r="F923" s="231" t="s">
        <v>825</v>
      </c>
      <c r="G923" s="232">
        <v>1</v>
      </c>
      <c r="H923" s="230">
        <f t="shared" si="54"/>
        <v>50</v>
      </c>
      <c r="I923" s="233" t="s">
        <v>1191</v>
      </c>
      <c r="J923" s="233"/>
      <c r="K923" s="234"/>
    </row>
    <row r="924" spans="1:11">
      <c r="A924" s="238" t="s">
        <v>1209</v>
      </c>
      <c r="B924" s="239" t="s">
        <v>1261</v>
      </c>
      <c r="C924" s="240">
        <v>1</v>
      </c>
      <c r="D924" s="246" t="s">
        <v>389</v>
      </c>
      <c r="E924" s="241">
        <v>0</v>
      </c>
      <c r="F924" s="242" t="s">
        <v>825</v>
      </c>
      <c r="G924" s="242">
        <v>2</v>
      </c>
      <c r="H924" s="243">
        <v>2</v>
      </c>
      <c r="I924" s="259" t="s">
        <v>1337</v>
      </c>
      <c r="J924" s="260"/>
      <c r="K924" s="244"/>
    </row>
    <row r="925" spans="1:11">
      <c r="A925" s="19" t="s">
        <v>1209</v>
      </c>
      <c r="B925" s="245" t="s">
        <v>1261</v>
      </c>
      <c r="C925" s="18">
        <v>2</v>
      </c>
      <c r="D925" s="246" t="s">
        <v>706</v>
      </c>
      <c r="E925" s="247">
        <v>0</v>
      </c>
      <c r="F925" s="248" t="s">
        <v>825</v>
      </c>
      <c r="G925" s="248">
        <v>3</v>
      </c>
      <c r="H925" s="249">
        <v>5</v>
      </c>
      <c r="I925" s="259" t="s">
        <v>1338</v>
      </c>
      <c r="J925" s="260" t="s">
        <v>1339</v>
      </c>
      <c r="K925" s="250"/>
    </row>
    <row r="926" spans="1:11">
      <c r="A926" s="19" t="s">
        <v>1209</v>
      </c>
      <c r="B926" s="245" t="s">
        <v>1261</v>
      </c>
      <c r="C926" s="18">
        <v>3</v>
      </c>
      <c r="D926" s="246" t="s">
        <v>1262</v>
      </c>
      <c r="E926" s="247">
        <v>0</v>
      </c>
      <c r="F926" s="248" t="s">
        <v>825</v>
      </c>
      <c r="G926" s="248">
        <v>8</v>
      </c>
      <c r="H926" s="249">
        <v>13</v>
      </c>
      <c r="I926" s="259" t="s">
        <v>1262</v>
      </c>
      <c r="J926" s="260"/>
      <c r="K926" s="250"/>
    </row>
    <row r="927" spans="1:11">
      <c r="A927" s="19" t="s">
        <v>1209</v>
      </c>
      <c r="B927" s="245" t="s">
        <v>1261</v>
      </c>
      <c r="C927" s="18">
        <v>4</v>
      </c>
      <c r="D927" s="246" t="s">
        <v>568</v>
      </c>
      <c r="E927" s="247">
        <v>0</v>
      </c>
      <c r="F927" s="248" t="s">
        <v>825</v>
      </c>
      <c r="G927" s="248">
        <v>6</v>
      </c>
      <c r="H927" s="249">
        <v>19</v>
      </c>
      <c r="I927" s="259" t="s">
        <v>568</v>
      </c>
      <c r="J927" s="260"/>
      <c r="K927" s="250"/>
    </row>
    <row r="928" spans="1:11" ht="136.5">
      <c r="A928" s="19" t="s">
        <v>1209</v>
      </c>
      <c r="B928" s="245" t="s">
        <v>1261</v>
      </c>
      <c r="C928" s="18">
        <v>5</v>
      </c>
      <c r="D928" s="246" t="s">
        <v>1263</v>
      </c>
      <c r="E928" s="247">
        <v>0</v>
      </c>
      <c r="F928" s="248" t="s">
        <v>825</v>
      </c>
      <c r="G928" s="248">
        <v>3</v>
      </c>
      <c r="H928" s="249">
        <v>22</v>
      </c>
      <c r="I928" s="259" t="s">
        <v>1340</v>
      </c>
      <c r="J928" s="260" t="s">
        <v>1341</v>
      </c>
      <c r="K928" s="250"/>
    </row>
    <row r="929" spans="1:11">
      <c r="A929" s="19" t="s">
        <v>1209</v>
      </c>
      <c r="B929" s="245" t="s">
        <v>1261</v>
      </c>
      <c r="C929" s="18">
        <v>6</v>
      </c>
      <c r="D929" s="246" t="s">
        <v>1264</v>
      </c>
      <c r="E929" s="247">
        <v>1</v>
      </c>
      <c r="F929" s="248" t="s">
        <v>824</v>
      </c>
      <c r="G929" s="248">
        <v>6</v>
      </c>
      <c r="H929" s="249">
        <v>28</v>
      </c>
      <c r="I929" s="259" t="s">
        <v>1264</v>
      </c>
      <c r="J929" s="260"/>
      <c r="K929" s="250"/>
    </row>
    <row r="930" spans="1:11">
      <c r="A930" s="19" t="s">
        <v>1209</v>
      </c>
      <c r="B930" s="245" t="s">
        <v>1261</v>
      </c>
      <c r="C930" s="18">
        <v>7</v>
      </c>
      <c r="D930" s="246" t="s">
        <v>1265</v>
      </c>
      <c r="E930" s="247">
        <v>1</v>
      </c>
      <c r="F930" s="248" t="s">
        <v>824</v>
      </c>
      <c r="G930" s="248">
        <v>6</v>
      </c>
      <c r="H930" s="249">
        <v>34</v>
      </c>
      <c r="I930" s="259" t="s">
        <v>1265</v>
      </c>
      <c r="J930" s="260"/>
      <c r="K930" s="250"/>
    </row>
    <row r="931" spans="1:11">
      <c r="A931" s="32" t="s">
        <v>1209</v>
      </c>
      <c r="B931" s="245" t="s">
        <v>1261</v>
      </c>
      <c r="C931" s="18">
        <v>8</v>
      </c>
      <c r="D931" s="246" t="s">
        <v>1266</v>
      </c>
      <c r="E931" s="289">
        <v>1</v>
      </c>
      <c r="F931" s="290" t="s">
        <v>824</v>
      </c>
      <c r="G931" s="290">
        <v>6</v>
      </c>
      <c r="H931" s="249">
        <v>40</v>
      </c>
      <c r="I931" s="291" t="s">
        <v>1429</v>
      </c>
      <c r="J931" s="292"/>
      <c r="K931" s="250"/>
    </row>
    <row r="932" spans="1:11">
      <c r="A932" s="19" t="s">
        <v>1209</v>
      </c>
      <c r="B932" s="245" t="s">
        <v>1261</v>
      </c>
      <c r="C932" s="18">
        <v>9</v>
      </c>
      <c r="D932" s="246" t="s">
        <v>1267</v>
      </c>
      <c r="E932" s="247">
        <v>1</v>
      </c>
      <c r="F932" s="248" t="s">
        <v>824</v>
      </c>
      <c r="G932" s="248">
        <v>6</v>
      </c>
      <c r="H932" s="249">
        <v>46</v>
      </c>
      <c r="I932" s="259" t="s">
        <v>1267</v>
      </c>
      <c r="J932" s="260"/>
      <c r="K932" s="250"/>
    </row>
    <row r="933" spans="1:11">
      <c r="A933" s="19" t="s">
        <v>1209</v>
      </c>
      <c r="B933" s="245" t="s">
        <v>1261</v>
      </c>
      <c r="C933" s="18">
        <v>10</v>
      </c>
      <c r="D933" s="246" t="s">
        <v>1268</v>
      </c>
      <c r="E933" s="247">
        <v>1</v>
      </c>
      <c r="F933" s="248" t="s">
        <v>824</v>
      </c>
      <c r="G933" s="248">
        <v>6</v>
      </c>
      <c r="H933" s="249">
        <v>52</v>
      </c>
      <c r="I933" s="259" t="s">
        <v>1268</v>
      </c>
      <c r="J933" s="260"/>
      <c r="K933" s="250"/>
    </row>
    <row r="934" spans="1:11">
      <c r="A934" s="19" t="s">
        <v>1209</v>
      </c>
      <c r="B934" s="245" t="s">
        <v>1261</v>
      </c>
      <c r="C934" s="18">
        <v>11</v>
      </c>
      <c r="D934" s="246" t="s">
        <v>1269</v>
      </c>
      <c r="E934" s="247">
        <v>1</v>
      </c>
      <c r="F934" s="248" t="s">
        <v>824</v>
      </c>
      <c r="G934" s="248">
        <v>6</v>
      </c>
      <c r="H934" s="249">
        <v>58</v>
      </c>
      <c r="I934" s="259" t="s">
        <v>1269</v>
      </c>
      <c r="J934" s="260"/>
      <c r="K934" s="250"/>
    </row>
    <row r="935" spans="1:11">
      <c r="A935" s="19" t="s">
        <v>1209</v>
      </c>
      <c r="B935" s="245" t="s">
        <v>1261</v>
      </c>
      <c r="C935" s="18">
        <v>12</v>
      </c>
      <c r="D935" s="246" t="s">
        <v>1270</v>
      </c>
      <c r="E935" s="247">
        <v>1</v>
      </c>
      <c r="F935" s="248" t="s">
        <v>824</v>
      </c>
      <c r="G935" s="248">
        <v>6</v>
      </c>
      <c r="H935" s="249">
        <v>64</v>
      </c>
      <c r="I935" s="259" t="s">
        <v>1270</v>
      </c>
      <c r="J935" s="260"/>
      <c r="K935" s="250"/>
    </row>
    <row r="936" spans="1:11">
      <c r="A936" s="19" t="s">
        <v>1209</v>
      </c>
      <c r="B936" s="245" t="s">
        <v>1261</v>
      </c>
      <c r="C936" s="18">
        <v>13</v>
      </c>
      <c r="D936" s="246" t="s">
        <v>1271</v>
      </c>
      <c r="E936" s="247">
        <v>0</v>
      </c>
      <c r="F936" s="248" t="s">
        <v>825</v>
      </c>
      <c r="G936" s="248">
        <v>6</v>
      </c>
      <c r="H936" s="249">
        <v>70</v>
      </c>
      <c r="I936" s="259" t="s">
        <v>1271</v>
      </c>
      <c r="J936" s="260"/>
      <c r="K936" s="250"/>
    </row>
    <row r="937" spans="1:11">
      <c r="A937" s="251" t="s">
        <v>1209</v>
      </c>
      <c r="B937" s="245" t="s">
        <v>1261</v>
      </c>
      <c r="C937" s="38">
        <v>14</v>
      </c>
      <c r="D937" s="246" t="s">
        <v>634</v>
      </c>
      <c r="E937" s="252">
        <v>0</v>
      </c>
      <c r="F937" s="253" t="s">
        <v>825</v>
      </c>
      <c r="G937" s="253">
        <v>1</v>
      </c>
      <c r="H937" s="254">
        <v>71</v>
      </c>
      <c r="I937" s="261" t="s">
        <v>1342</v>
      </c>
      <c r="J937" s="261"/>
      <c r="K937" s="255"/>
    </row>
    <row r="938" spans="1:11">
      <c r="A938" s="238" t="s">
        <v>1244</v>
      </c>
      <c r="B938" s="258" t="s">
        <v>1272</v>
      </c>
      <c r="C938" s="240">
        <v>1</v>
      </c>
      <c r="D938" s="246" t="s">
        <v>389</v>
      </c>
      <c r="E938" s="241">
        <v>0</v>
      </c>
      <c r="F938" s="242" t="s">
        <v>825</v>
      </c>
      <c r="G938" s="242">
        <v>2</v>
      </c>
      <c r="H938" s="243">
        <v>2</v>
      </c>
      <c r="I938" s="259" t="s">
        <v>1337</v>
      </c>
      <c r="J938" s="259"/>
      <c r="K938" s="244"/>
    </row>
    <row r="939" spans="1:11">
      <c r="A939" s="19" t="s">
        <v>1244</v>
      </c>
      <c r="B939" s="258" t="s">
        <v>1272</v>
      </c>
      <c r="C939" s="18">
        <v>2</v>
      </c>
      <c r="D939" s="246" t="s">
        <v>706</v>
      </c>
      <c r="E939" s="247">
        <v>0</v>
      </c>
      <c r="F939" s="248" t="s">
        <v>825</v>
      </c>
      <c r="G939" s="248">
        <v>3</v>
      </c>
      <c r="H939" s="249">
        <v>5</v>
      </c>
      <c r="I939" s="259" t="s">
        <v>1338</v>
      </c>
      <c r="J939" s="260" t="s">
        <v>1339</v>
      </c>
      <c r="K939" s="250"/>
    </row>
    <row r="940" spans="1:11">
      <c r="A940" s="19" t="s">
        <v>1244</v>
      </c>
      <c r="B940" s="258" t="s">
        <v>1272</v>
      </c>
      <c r="C940" s="18">
        <v>3</v>
      </c>
      <c r="D940" s="246" t="s">
        <v>1679</v>
      </c>
      <c r="E940" s="247">
        <v>0</v>
      </c>
      <c r="F940" s="248" t="s">
        <v>825</v>
      </c>
      <c r="G940" s="248">
        <v>4</v>
      </c>
      <c r="H940" s="249">
        <v>9</v>
      </c>
      <c r="I940" s="259" t="s">
        <v>1286</v>
      </c>
      <c r="J940" s="260"/>
      <c r="K940" s="250"/>
    </row>
    <row r="941" spans="1:11">
      <c r="A941" s="19" t="s">
        <v>1244</v>
      </c>
      <c r="B941" s="258" t="s">
        <v>1272</v>
      </c>
      <c r="C941" s="18">
        <v>4</v>
      </c>
      <c r="D941" s="246" t="s">
        <v>423</v>
      </c>
      <c r="E941" s="247">
        <v>0</v>
      </c>
      <c r="F941" s="248" t="s">
        <v>825</v>
      </c>
      <c r="G941" s="248">
        <v>8</v>
      </c>
      <c r="H941" s="249">
        <v>17</v>
      </c>
      <c r="I941" s="259" t="s">
        <v>423</v>
      </c>
      <c r="J941" s="260"/>
      <c r="K941" s="250"/>
    </row>
    <row r="942" spans="1:11">
      <c r="A942" s="19" t="s">
        <v>1244</v>
      </c>
      <c r="B942" s="258" t="s">
        <v>1272</v>
      </c>
      <c r="C942" s="18">
        <v>5</v>
      </c>
      <c r="D942" s="246" t="s">
        <v>1287</v>
      </c>
      <c r="E942" s="247">
        <v>0</v>
      </c>
      <c r="F942" s="248" t="s">
        <v>825</v>
      </c>
      <c r="G942" s="248">
        <v>9</v>
      </c>
      <c r="H942" s="249">
        <v>26</v>
      </c>
      <c r="I942" s="259" t="s">
        <v>1466</v>
      </c>
      <c r="J942" s="260"/>
      <c r="K942" s="250"/>
    </row>
    <row r="943" spans="1:11">
      <c r="A943" s="19" t="s">
        <v>1244</v>
      </c>
      <c r="B943" s="258" t="s">
        <v>1272</v>
      </c>
      <c r="C943" s="18">
        <v>6</v>
      </c>
      <c r="D943" s="246" t="s">
        <v>1268</v>
      </c>
      <c r="E943" s="247">
        <v>1</v>
      </c>
      <c r="F943" s="248" t="s">
        <v>824</v>
      </c>
      <c r="G943" s="248">
        <v>6</v>
      </c>
      <c r="H943" s="249">
        <v>32</v>
      </c>
      <c r="I943" s="259" t="s">
        <v>1268</v>
      </c>
      <c r="J943" s="260"/>
      <c r="K943" s="250"/>
    </row>
    <row r="944" spans="1:11">
      <c r="A944" s="19" t="s">
        <v>1244</v>
      </c>
      <c r="B944" s="258" t="s">
        <v>1272</v>
      </c>
      <c r="C944" s="18">
        <v>7</v>
      </c>
      <c r="D944" s="246" t="s">
        <v>1269</v>
      </c>
      <c r="E944" s="247">
        <v>1</v>
      </c>
      <c r="F944" s="248" t="s">
        <v>824</v>
      </c>
      <c r="G944" s="248">
        <v>6</v>
      </c>
      <c r="H944" s="249">
        <v>38</v>
      </c>
      <c r="I944" s="259" t="s">
        <v>1269</v>
      </c>
      <c r="J944" s="260"/>
      <c r="K944" s="250"/>
    </row>
    <row r="945" spans="1:11">
      <c r="A945" s="19" t="s">
        <v>1244</v>
      </c>
      <c r="B945" s="258" t="s">
        <v>1272</v>
      </c>
      <c r="C945" s="18">
        <v>8</v>
      </c>
      <c r="D945" s="246" t="s">
        <v>1288</v>
      </c>
      <c r="E945" s="247">
        <v>1</v>
      </c>
      <c r="F945" s="248" t="s">
        <v>824</v>
      </c>
      <c r="G945" s="248">
        <v>6</v>
      </c>
      <c r="H945" s="249">
        <v>44</v>
      </c>
      <c r="I945" s="259" t="s">
        <v>1288</v>
      </c>
      <c r="J945" s="260"/>
      <c r="K945" s="250"/>
    </row>
    <row r="946" spans="1:11">
      <c r="A946" s="19" t="s">
        <v>1244</v>
      </c>
      <c r="B946" s="258" t="s">
        <v>1272</v>
      </c>
      <c r="C946" s="18">
        <v>9</v>
      </c>
      <c r="D946" s="246" t="s">
        <v>881</v>
      </c>
      <c r="E946" s="247">
        <v>0</v>
      </c>
      <c r="F946" s="248" t="s">
        <v>825</v>
      </c>
      <c r="G946" s="248">
        <v>35</v>
      </c>
      <c r="H946" s="249">
        <v>79</v>
      </c>
      <c r="I946" s="259" t="s">
        <v>881</v>
      </c>
      <c r="J946" s="260"/>
      <c r="K946" s="250"/>
    </row>
    <row r="947" spans="1:11">
      <c r="A947" s="256" t="s">
        <v>1244</v>
      </c>
      <c r="B947" s="258" t="s">
        <v>1272</v>
      </c>
      <c r="C947" s="38">
        <v>10</v>
      </c>
      <c r="D947" s="246" t="s">
        <v>634</v>
      </c>
      <c r="E947" s="252">
        <v>0</v>
      </c>
      <c r="F947" s="253" t="s">
        <v>825</v>
      </c>
      <c r="G947" s="253">
        <v>1</v>
      </c>
      <c r="H947" s="254">
        <v>80</v>
      </c>
      <c r="I947" s="261" t="s">
        <v>1342</v>
      </c>
      <c r="J947" s="261"/>
      <c r="K947" s="255"/>
    </row>
    <row r="948" spans="1:11">
      <c r="A948" s="293" t="s">
        <v>1212</v>
      </c>
      <c r="B948" s="258" t="s">
        <v>1273</v>
      </c>
      <c r="C948" s="240">
        <v>1</v>
      </c>
      <c r="D948" s="246" t="s">
        <v>389</v>
      </c>
      <c r="E948" s="294">
        <v>0</v>
      </c>
      <c r="F948" s="295" t="s">
        <v>1006</v>
      </c>
      <c r="G948" s="295">
        <v>2</v>
      </c>
      <c r="H948" s="296">
        <f>G948</f>
        <v>2</v>
      </c>
      <c r="I948" s="291" t="s">
        <v>1337</v>
      </c>
      <c r="J948" s="291"/>
      <c r="K948" s="244"/>
    </row>
    <row r="949" spans="1:11">
      <c r="A949" s="32" t="s">
        <v>1212</v>
      </c>
      <c r="B949" s="258" t="s">
        <v>1273</v>
      </c>
      <c r="C949" s="18">
        <v>2</v>
      </c>
      <c r="D949" s="246" t="s">
        <v>706</v>
      </c>
      <c r="E949" s="297">
        <v>0</v>
      </c>
      <c r="F949" s="298" t="s">
        <v>1006</v>
      </c>
      <c r="G949" s="298">
        <v>3</v>
      </c>
      <c r="H949" s="299">
        <f>G949+H948</f>
        <v>5</v>
      </c>
      <c r="I949" s="291" t="s">
        <v>1338</v>
      </c>
      <c r="J949" s="292" t="s">
        <v>1339</v>
      </c>
      <c r="K949" s="250"/>
    </row>
    <row r="950" spans="1:11">
      <c r="A950" s="32" t="s">
        <v>1212</v>
      </c>
      <c r="B950" s="258" t="s">
        <v>1273</v>
      </c>
      <c r="C950" s="18">
        <v>3</v>
      </c>
      <c r="D950" s="246" t="s">
        <v>1286</v>
      </c>
      <c r="E950" s="297">
        <v>0</v>
      </c>
      <c r="F950" s="298" t="s">
        <v>1006</v>
      </c>
      <c r="G950" s="298">
        <v>4</v>
      </c>
      <c r="H950" s="299">
        <f t="shared" ref="H950:H957" si="55">G950+H949</f>
        <v>9</v>
      </c>
      <c r="I950" s="291" t="s">
        <v>1286</v>
      </c>
      <c r="J950" s="292"/>
      <c r="K950" s="250"/>
    </row>
    <row r="951" spans="1:11">
      <c r="A951" s="32" t="s">
        <v>1212</v>
      </c>
      <c r="B951" s="258" t="s">
        <v>1273</v>
      </c>
      <c r="C951" s="18">
        <v>4</v>
      </c>
      <c r="D951" s="246" t="s">
        <v>423</v>
      </c>
      <c r="E951" s="297">
        <v>0</v>
      </c>
      <c r="F951" s="298" t="s">
        <v>1006</v>
      </c>
      <c r="G951" s="298">
        <v>8</v>
      </c>
      <c r="H951" s="299">
        <f t="shared" si="55"/>
        <v>17</v>
      </c>
      <c r="I951" s="291" t="s">
        <v>423</v>
      </c>
      <c r="J951" s="292"/>
      <c r="K951" s="250"/>
    </row>
    <row r="952" spans="1:11">
      <c r="A952" s="32" t="s">
        <v>1212</v>
      </c>
      <c r="B952" s="258" t="s">
        <v>1273</v>
      </c>
      <c r="C952" s="18">
        <v>5</v>
      </c>
      <c r="D952" s="246" t="s">
        <v>1287</v>
      </c>
      <c r="E952" s="297">
        <v>0</v>
      </c>
      <c r="F952" s="298" t="s">
        <v>1006</v>
      </c>
      <c r="G952" s="298">
        <v>9</v>
      </c>
      <c r="H952" s="299">
        <f t="shared" si="55"/>
        <v>26</v>
      </c>
      <c r="I952" s="291" t="s">
        <v>1467</v>
      </c>
      <c r="J952" s="292"/>
      <c r="K952" s="250"/>
    </row>
    <row r="953" spans="1:11">
      <c r="A953" s="32" t="s">
        <v>1212</v>
      </c>
      <c r="B953" s="258" t="s">
        <v>1273</v>
      </c>
      <c r="C953" s="18">
        <v>6</v>
      </c>
      <c r="D953" s="246" t="s">
        <v>1268</v>
      </c>
      <c r="E953" s="297">
        <v>1</v>
      </c>
      <c r="F953" s="290" t="s">
        <v>824</v>
      </c>
      <c r="G953" s="298">
        <v>6</v>
      </c>
      <c r="H953" s="299">
        <f t="shared" si="55"/>
        <v>32</v>
      </c>
      <c r="I953" s="291" t="s">
        <v>1268</v>
      </c>
      <c r="J953" s="292"/>
      <c r="K953" s="250"/>
    </row>
    <row r="954" spans="1:11">
      <c r="A954" s="32" t="s">
        <v>1212</v>
      </c>
      <c r="B954" s="258" t="s">
        <v>1273</v>
      </c>
      <c r="C954" s="18">
        <v>7</v>
      </c>
      <c r="D954" s="246" t="s">
        <v>1269</v>
      </c>
      <c r="E954" s="297">
        <v>1</v>
      </c>
      <c r="F954" s="290" t="s">
        <v>824</v>
      </c>
      <c r="G954" s="298">
        <v>6</v>
      </c>
      <c r="H954" s="299">
        <f t="shared" si="55"/>
        <v>38</v>
      </c>
      <c r="I954" s="291" t="s">
        <v>1269</v>
      </c>
      <c r="J954" s="292"/>
      <c r="K954" s="250"/>
    </row>
    <row r="955" spans="1:11">
      <c r="A955" s="32" t="s">
        <v>1212</v>
      </c>
      <c r="B955" s="258" t="s">
        <v>1273</v>
      </c>
      <c r="C955" s="18">
        <v>8</v>
      </c>
      <c r="D955" s="246" t="s">
        <v>1288</v>
      </c>
      <c r="E955" s="297">
        <v>1</v>
      </c>
      <c r="F955" s="290" t="s">
        <v>824</v>
      </c>
      <c r="G955" s="298">
        <v>6</v>
      </c>
      <c r="H955" s="299">
        <f t="shared" si="55"/>
        <v>44</v>
      </c>
      <c r="I955" s="291" t="s">
        <v>1288</v>
      </c>
      <c r="J955" s="292"/>
      <c r="K955" s="250"/>
    </row>
    <row r="956" spans="1:11">
      <c r="A956" s="32" t="s">
        <v>1212</v>
      </c>
      <c r="B956" s="258" t="s">
        <v>1273</v>
      </c>
      <c r="C956" s="18">
        <v>9</v>
      </c>
      <c r="D956" s="246" t="s">
        <v>881</v>
      </c>
      <c r="E956" s="297">
        <v>0</v>
      </c>
      <c r="F956" s="290" t="s">
        <v>825</v>
      </c>
      <c r="G956" s="298">
        <v>35</v>
      </c>
      <c r="H956" s="299">
        <f t="shared" si="55"/>
        <v>79</v>
      </c>
      <c r="I956" s="291" t="s">
        <v>881</v>
      </c>
      <c r="J956" s="292"/>
      <c r="K956" s="250"/>
    </row>
    <row r="957" spans="1:11">
      <c r="A957" s="300" t="s">
        <v>1212</v>
      </c>
      <c r="B957" s="258" t="s">
        <v>1273</v>
      </c>
      <c r="C957" s="38">
        <v>10</v>
      </c>
      <c r="D957" s="246" t="s">
        <v>634</v>
      </c>
      <c r="E957" s="301">
        <v>0</v>
      </c>
      <c r="F957" s="302" t="s">
        <v>825</v>
      </c>
      <c r="G957" s="302">
        <v>1</v>
      </c>
      <c r="H957" s="254">
        <f t="shared" si="55"/>
        <v>80</v>
      </c>
      <c r="I957" s="303" t="s">
        <v>1342</v>
      </c>
      <c r="J957" s="303"/>
      <c r="K957" s="255"/>
    </row>
    <row r="958" spans="1:11">
      <c r="A958" s="238" t="s">
        <v>1245</v>
      </c>
      <c r="B958" s="258" t="s">
        <v>1274</v>
      </c>
      <c r="C958" s="240">
        <v>1</v>
      </c>
      <c r="D958" s="246" t="s">
        <v>389</v>
      </c>
      <c r="E958" s="241">
        <v>0</v>
      </c>
      <c r="F958" s="242" t="s">
        <v>825</v>
      </c>
      <c r="G958" s="242">
        <v>2</v>
      </c>
      <c r="H958" s="243">
        <v>2</v>
      </c>
      <c r="I958" s="259" t="s">
        <v>1337</v>
      </c>
      <c r="J958" s="259"/>
      <c r="K958" s="244"/>
    </row>
    <row r="959" spans="1:11">
      <c r="A959" s="19" t="s">
        <v>1245</v>
      </c>
      <c r="B959" s="258" t="s">
        <v>1274</v>
      </c>
      <c r="C959" s="18">
        <v>2</v>
      </c>
      <c r="D959" s="246" t="s">
        <v>706</v>
      </c>
      <c r="E959" s="247">
        <v>0</v>
      </c>
      <c r="F959" s="248" t="s">
        <v>825</v>
      </c>
      <c r="G959" s="248">
        <v>3</v>
      </c>
      <c r="H959" s="249">
        <v>5</v>
      </c>
      <c r="I959" s="259" t="s">
        <v>1338</v>
      </c>
      <c r="J959" s="260" t="s">
        <v>1339</v>
      </c>
      <c r="K959" s="250"/>
    </row>
    <row r="960" spans="1:11">
      <c r="A960" s="19" t="s">
        <v>1245</v>
      </c>
      <c r="B960" s="258" t="s">
        <v>1274</v>
      </c>
      <c r="C960" s="18">
        <v>3</v>
      </c>
      <c r="D960" s="246" t="s">
        <v>1286</v>
      </c>
      <c r="E960" s="247">
        <v>0</v>
      </c>
      <c r="F960" s="248" t="s">
        <v>825</v>
      </c>
      <c r="G960" s="248">
        <v>4</v>
      </c>
      <c r="H960" s="249">
        <v>9</v>
      </c>
      <c r="I960" s="259" t="s">
        <v>1286</v>
      </c>
      <c r="J960" s="260"/>
      <c r="K960" s="250"/>
    </row>
    <row r="961" spans="1:11">
      <c r="A961" s="19" t="s">
        <v>1245</v>
      </c>
      <c r="B961" s="258" t="s">
        <v>1274</v>
      </c>
      <c r="C961" s="18">
        <v>4</v>
      </c>
      <c r="D961" s="246" t="s">
        <v>423</v>
      </c>
      <c r="E961" s="247">
        <v>0</v>
      </c>
      <c r="F961" s="248" t="s">
        <v>825</v>
      </c>
      <c r="G961" s="248">
        <v>8</v>
      </c>
      <c r="H961" s="249">
        <v>17</v>
      </c>
      <c r="I961" s="259" t="s">
        <v>423</v>
      </c>
      <c r="J961" s="260"/>
      <c r="K961" s="250"/>
    </row>
    <row r="962" spans="1:11" ht="147">
      <c r="A962" s="19" t="s">
        <v>1245</v>
      </c>
      <c r="B962" s="258" t="s">
        <v>1274</v>
      </c>
      <c r="C962" s="18">
        <v>5</v>
      </c>
      <c r="D962" s="246" t="s">
        <v>1289</v>
      </c>
      <c r="E962" s="247">
        <v>0</v>
      </c>
      <c r="F962" s="248" t="s">
        <v>825</v>
      </c>
      <c r="G962" s="248">
        <v>2</v>
      </c>
      <c r="H962" s="249">
        <v>19</v>
      </c>
      <c r="I962" s="259" t="s">
        <v>1344</v>
      </c>
      <c r="J962" s="260"/>
      <c r="K962" s="250"/>
    </row>
    <row r="963" spans="1:11">
      <c r="A963" s="19" t="s">
        <v>1213</v>
      </c>
      <c r="B963" s="258" t="s">
        <v>1274</v>
      </c>
      <c r="C963" s="18">
        <v>6</v>
      </c>
      <c r="D963" s="246" t="s">
        <v>1290</v>
      </c>
      <c r="E963" s="247">
        <v>0</v>
      </c>
      <c r="F963" s="248" t="s">
        <v>825</v>
      </c>
      <c r="G963" s="248">
        <v>8</v>
      </c>
      <c r="H963" s="249">
        <v>27</v>
      </c>
      <c r="I963" s="259" t="s">
        <v>1290</v>
      </c>
      <c r="J963" s="260"/>
      <c r="K963" s="250"/>
    </row>
    <row r="964" spans="1:11">
      <c r="A964" s="19" t="s">
        <v>1245</v>
      </c>
      <c r="B964" s="258" t="s">
        <v>1274</v>
      </c>
      <c r="C964" s="18">
        <v>7</v>
      </c>
      <c r="D964" s="246" t="s">
        <v>1268</v>
      </c>
      <c r="E964" s="247">
        <v>1</v>
      </c>
      <c r="F964" s="248" t="s">
        <v>824</v>
      </c>
      <c r="G964" s="248">
        <v>6</v>
      </c>
      <c r="H964" s="249">
        <v>33</v>
      </c>
      <c r="I964" s="259" t="s">
        <v>1268</v>
      </c>
      <c r="J964" s="260"/>
      <c r="K964" s="250"/>
    </row>
    <row r="965" spans="1:11">
      <c r="A965" s="19" t="s">
        <v>1245</v>
      </c>
      <c r="B965" s="258" t="s">
        <v>1274</v>
      </c>
      <c r="C965" s="18">
        <v>8</v>
      </c>
      <c r="D965" s="246" t="s">
        <v>1269</v>
      </c>
      <c r="E965" s="247">
        <v>1</v>
      </c>
      <c r="F965" s="248" t="s">
        <v>824</v>
      </c>
      <c r="G965" s="248">
        <v>6</v>
      </c>
      <c r="H965" s="249">
        <v>39</v>
      </c>
      <c r="I965" s="259" t="s">
        <v>1269</v>
      </c>
      <c r="J965" s="260"/>
      <c r="K965" s="250"/>
    </row>
    <row r="966" spans="1:11">
      <c r="A966" s="19" t="s">
        <v>1245</v>
      </c>
      <c r="B966" s="258" t="s">
        <v>1274</v>
      </c>
      <c r="C966" s="18">
        <v>9</v>
      </c>
      <c r="D966" s="246" t="s">
        <v>1267</v>
      </c>
      <c r="E966" s="247">
        <v>1</v>
      </c>
      <c r="F966" s="248" t="s">
        <v>824</v>
      </c>
      <c r="G966" s="248">
        <v>6</v>
      </c>
      <c r="H966" s="249">
        <v>45</v>
      </c>
      <c r="I966" s="259" t="s">
        <v>1267</v>
      </c>
      <c r="J966" s="260"/>
      <c r="K966" s="250"/>
    </row>
    <row r="967" spans="1:11">
      <c r="A967" s="19" t="s">
        <v>1245</v>
      </c>
      <c r="B967" s="258" t="s">
        <v>1274</v>
      </c>
      <c r="C967" s="18">
        <v>10</v>
      </c>
      <c r="D967" s="246" t="s">
        <v>1291</v>
      </c>
      <c r="E967" s="247">
        <v>1</v>
      </c>
      <c r="F967" s="248" t="s">
        <v>824</v>
      </c>
      <c r="G967" s="248">
        <v>6</v>
      </c>
      <c r="H967" s="249">
        <v>51</v>
      </c>
      <c r="I967" s="259" t="s">
        <v>1291</v>
      </c>
      <c r="J967" s="260"/>
      <c r="K967" s="250"/>
    </row>
    <row r="968" spans="1:11">
      <c r="A968" s="19" t="s">
        <v>1245</v>
      </c>
      <c r="B968" s="258" t="s">
        <v>1274</v>
      </c>
      <c r="C968" s="18">
        <v>11</v>
      </c>
      <c r="D968" s="246" t="s">
        <v>881</v>
      </c>
      <c r="E968" s="247">
        <v>0</v>
      </c>
      <c r="F968" s="248" t="s">
        <v>825</v>
      </c>
      <c r="G968" s="248">
        <v>28</v>
      </c>
      <c r="H968" s="249">
        <v>79</v>
      </c>
      <c r="I968" s="259" t="s">
        <v>881</v>
      </c>
      <c r="J968" s="260"/>
      <c r="K968" s="250"/>
    </row>
    <row r="969" spans="1:11">
      <c r="A969" s="256" t="s">
        <v>1245</v>
      </c>
      <c r="B969" s="258" t="s">
        <v>1275</v>
      </c>
      <c r="C969" s="38">
        <v>12</v>
      </c>
      <c r="D969" s="246" t="s">
        <v>634</v>
      </c>
      <c r="E969" s="252">
        <v>0</v>
      </c>
      <c r="F969" s="253" t="s">
        <v>825</v>
      </c>
      <c r="G969" s="253">
        <v>1</v>
      </c>
      <c r="H969" s="254">
        <v>80</v>
      </c>
      <c r="I969" s="261" t="s">
        <v>1342</v>
      </c>
      <c r="J969" s="261"/>
      <c r="K969" s="255"/>
    </row>
    <row r="970" spans="1:11">
      <c r="A970" s="32" t="s">
        <v>1214</v>
      </c>
      <c r="B970" s="304" t="s">
        <v>1277</v>
      </c>
      <c r="C970" s="18">
        <v>1</v>
      </c>
      <c r="D970" s="246" t="s">
        <v>389</v>
      </c>
      <c r="E970" s="305">
        <v>0</v>
      </c>
      <c r="F970" s="306" t="s">
        <v>825</v>
      </c>
      <c r="G970" s="306">
        <v>2</v>
      </c>
      <c r="H970" s="299">
        <f>G970</f>
        <v>2</v>
      </c>
      <c r="I970" s="291" t="s">
        <v>1337</v>
      </c>
      <c r="J970" s="291"/>
      <c r="K970" s="250"/>
    </row>
    <row r="971" spans="1:11">
      <c r="A971" s="32" t="s">
        <v>1214</v>
      </c>
      <c r="B971" s="304" t="s">
        <v>1277</v>
      </c>
      <c r="C971" s="18">
        <v>2</v>
      </c>
      <c r="D971" s="246" t="s">
        <v>706</v>
      </c>
      <c r="E971" s="289">
        <v>0</v>
      </c>
      <c r="F971" s="290" t="s">
        <v>825</v>
      </c>
      <c r="G971" s="290">
        <v>3</v>
      </c>
      <c r="H971" s="299">
        <f>G971+H970</f>
        <v>5</v>
      </c>
      <c r="I971" s="291" t="s">
        <v>1338</v>
      </c>
      <c r="J971" s="292" t="s">
        <v>1339</v>
      </c>
      <c r="K971" s="250"/>
    </row>
    <row r="972" spans="1:11">
      <c r="A972" s="32" t="s">
        <v>1214</v>
      </c>
      <c r="B972" s="304" t="s">
        <v>1277</v>
      </c>
      <c r="C972" s="18">
        <v>3</v>
      </c>
      <c r="D972" s="246" t="s">
        <v>1286</v>
      </c>
      <c r="E972" s="289">
        <v>0</v>
      </c>
      <c r="F972" s="290" t="s">
        <v>825</v>
      </c>
      <c r="G972" s="290">
        <v>4</v>
      </c>
      <c r="H972" s="299">
        <f t="shared" ref="H972:H981" si="56">G972+H971</f>
        <v>9</v>
      </c>
      <c r="I972" s="291" t="s">
        <v>1286</v>
      </c>
      <c r="J972" s="292"/>
      <c r="K972" s="250"/>
    </row>
    <row r="973" spans="1:11">
      <c r="A973" s="32" t="s">
        <v>1214</v>
      </c>
      <c r="B973" s="304" t="s">
        <v>1277</v>
      </c>
      <c r="C973" s="18">
        <v>4</v>
      </c>
      <c r="D973" s="246" t="s">
        <v>423</v>
      </c>
      <c r="E973" s="289">
        <v>0</v>
      </c>
      <c r="F973" s="290" t="s">
        <v>825</v>
      </c>
      <c r="G973" s="290">
        <v>8</v>
      </c>
      <c r="H973" s="299">
        <f t="shared" si="56"/>
        <v>17</v>
      </c>
      <c r="I973" s="291" t="s">
        <v>423</v>
      </c>
      <c r="J973" s="292"/>
      <c r="K973" s="250"/>
    </row>
    <row r="974" spans="1:11" ht="22.5">
      <c r="A974" s="32" t="s">
        <v>1214</v>
      </c>
      <c r="B974" s="304" t="s">
        <v>1277</v>
      </c>
      <c r="C974" s="18">
        <v>5</v>
      </c>
      <c r="D974" s="246" t="s">
        <v>1289</v>
      </c>
      <c r="E974" s="289">
        <v>0</v>
      </c>
      <c r="F974" s="290" t="s">
        <v>825</v>
      </c>
      <c r="G974" s="290">
        <v>2</v>
      </c>
      <c r="H974" s="299">
        <f t="shared" si="56"/>
        <v>19</v>
      </c>
      <c r="I974" s="307" t="s">
        <v>1345</v>
      </c>
      <c r="K974" s="250"/>
    </row>
    <row r="975" spans="1:11">
      <c r="A975" s="32" t="s">
        <v>1214</v>
      </c>
      <c r="B975" s="304" t="s">
        <v>1277</v>
      </c>
      <c r="C975" s="18">
        <v>6</v>
      </c>
      <c r="D975" s="246" t="s">
        <v>1290</v>
      </c>
      <c r="E975" s="289">
        <v>0</v>
      </c>
      <c r="F975" s="290" t="s">
        <v>825</v>
      </c>
      <c r="G975" s="290">
        <v>8</v>
      </c>
      <c r="H975" s="299">
        <f t="shared" si="56"/>
        <v>27</v>
      </c>
      <c r="I975" s="291" t="s">
        <v>1290</v>
      </c>
      <c r="K975" s="250"/>
    </row>
    <row r="976" spans="1:11">
      <c r="A976" s="32" t="s">
        <v>1214</v>
      </c>
      <c r="B976" s="304" t="s">
        <v>1277</v>
      </c>
      <c r="C976" s="18">
        <v>7</v>
      </c>
      <c r="D976" s="246" t="s">
        <v>1268</v>
      </c>
      <c r="E976" s="289">
        <v>1</v>
      </c>
      <c r="F976" s="290" t="s">
        <v>824</v>
      </c>
      <c r="G976" s="290">
        <v>6</v>
      </c>
      <c r="H976" s="299">
        <f t="shared" si="56"/>
        <v>33</v>
      </c>
      <c r="I976" s="291" t="s">
        <v>1268</v>
      </c>
      <c r="K976" s="250"/>
    </row>
    <row r="977" spans="1:11">
      <c r="A977" s="32" t="s">
        <v>1214</v>
      </c>
      <c r="B977" s="304" t="s">
        <v>1277</v>
      </c>
      <c r="C977" s="18">
        <v>8</v>
      </c>
      <c r="D977" s="246" t="s">
        <v>1269</v>
      </c>
      <c r="E977" s="289">
        <v>1</v>
      </c>
      <c r="F977" s="290" t="s">
        <v>824</v>
      </c>
      <c r="G977" s="290">
        <v>6</v>
      </c>
      <c r="H977" s="299">
        <f t="shared" si="56"/>
        <v>39</v>
      </c>
      <c r="I977" s="291" t="s">
        <v>1269</v>
      </c>
      <c r="K977" s="250"/>
    </row>
    <row r="978" spans="1:11">
      <c r="A978" s="32" t="s">
        <v>1214</v>
      </c>
      <c r="B978" s="304" t="s">
        <v>1277</v>
      </c>
      <c r="C978" s="18">
        <v>9</v>
      </c>
      <c r="D978" s="246" t="s">
        <v>1267</v>
      </c>
      <c r="E978" s="289">
        <v>1</v>
      </c>
      <c r="F978" s="290" t="s">
        <v>824</v>
      </c>
      <c r="G978" s="290">
        <v>6</v>
      </c>
      <c r="H978" s="299">
        <f t="shared" si="56"/>
        <v>45</v>
      </c>
      <c r="I978" s="291" t="s">
        <v>1267</v>
      </c>
      <c r="K978" s="250"/>
    </row>
    <row r="979" spans="1:11">
      <c r="A979" s="32" t="s">
        <v>1214</v>
      </c>
      <c r="B979" s="304" t="s">
        <v>1277</v>
      </c>
      <c r="C979" s="18">
        <v>10</v>
      </c>
      <c r="D979" s="246" t="s">
        <v>1291</v>
      </c>
      <c r="E979" s="289">
        <v>1</v>
      </c>
      <c r="F979" s="290" t="s">
        <v>824</v>
      </c>
      <c r="G979" s="290">
        <v>6</v>
      </c>
      <c r="H979" s="299">
        <f t="shared" si="56"/>
        <v>51</v>
      </c>
      <c r="I979" s="291" t="s">
        <v>1291</v>
      </c>
      <c r="K979" s="250"/>
    </row>
    <row r="980" spans="1:11">
      <c r="A980" s="32" t="s">
        <v>1214</v>
      </c>
      <c r="B980" s="304" t="s">
        <v>1277</v>
      </c>
      <c r="C980" s="18">
        <v>12</v>
      </c>
      <c r="D980" s="246" t="s">
        <v>881</v>
      </c>
      <c r="E980" s="289">
        <v>0</v>
      </c>
      <c r="F980" s="290" t="s">
        <v>825</v>
      </c>
      <c r="G980" s="290">
        <v>28</v>
      </c>
      <c r="H980" s="299">
        <f t="shared" si="56"/>
        <v>79</v>
      </c>
      <c r="I980" s="291" t="s">
        <v>881</v>
      </c>
      <c r="K980" s="250"/>
    </row>
    <row r="981" spans="1:11">
      <c r="A981" s="32" t="s">
        <v>1214</v>
      </c>
      <c r="B981" s="304" t="s">
        <v>1277</v>
      </c>
      <c r="C981" s="18">
        <v>13</v>
      </c>
      <c r="D981" s="246" t="s">
        <v>634</v>
      </c>
      <c r="E981" s="301">
        <v>0</v>
      </c>
      <c r="F981" s="302" t="s">
        <v>825</v>
      </c>
      <c r="G981" s="302">
        <v>1</v>
      </c>
      <c r="H981" s="299">
        <f t="shared" si="56"/>
        <v>80</v>
      </c>
      <c r="I981" s="308" t="s">
        <v>1342</v>
      </c>
      <c r="J981" s="309"/>
      <c r="K981" s="250"/>
    </row>
    <row r="982" spans="1:11">
      <c r="A982" s="238" t="s">
        <v>1246</v>
      </c>
      <c r="B982" s="239" t="s">
        <v>1358</v>
      </c>
      <c r="C982" s="240">
        <v>1</v>
      </c>
      <c r="D982" s="246" t="s">
        <v>389</v>
      </c>
      <c r="E982" s="241">
        <v>0</v>
      </c>
      <c r="F982" s="242" t="s">
        <v>825</v>
      </c>
      <c r="G982" s="242">
        <v>2</v>
      </c>
      <c r="H982" s="243">
        <v>2</v>
      </c>
      <c r="I982" s="259" t="s">
        <v>1337</v>
      </c>
      <c r="J982" s="259"/>
      <c r="K982" s="244"/>
    </row>
    <row r="983" spans="1:11">
      <c r="A983" s="19" t="s">
        <v>1246</v>
      </c>
      <c r="B983" s="245" t="s">
        <v>1276</v>
      </c>
      <c r="C983" s="18">
        <v>2</v>
      </c>
      <c r="D983" s="246" t="s">
        <v>706</v>
      </c>
      <c r="E983" s="247">
        <v>0</v>
      </c>
      <c r="F983" s="248" t="s">
        <v>825</v>
      </c>
      <c r="G983" s="248">
        <v>3</v>
      </c>
      <c r="H983" s="249">
        <v>5</v>
      </c>
      <c r="I983" s="259" t="s">
        <v>1338</v>
      </c>
      <c r="J983" s="260" t="s">
        <v>1339</v>
      </c>
      <c r="K983" s="250"/>
    </row>
    <row r="984" spans="1:11">
      <c r="A984" s="19" t="s">
        <v>1246</v>
      </c>
      <c r="B984" s="245" t="s">
        <v>1276</v>
      </c>
      <c r="C984" s="18">
        <v>3</v>
      </c>
      <c r="D984" s="246" t="s">
        <v>1286</v>
      </c>
      <c r="E984" s="247">
        <v>0</v>
      </c>
      <c r="F984" s="248" t="s">
        <v>825</v>
      </c>
      <c r="G984" s="248">
        <v>4</v>
      </c>
      <c r="H984" s="249">
        <v>9</v>
      </c>
      <c r="I984" s="259" t="s">
        <v>1286</v>
      </c>
      <c r="J984" s="260"/>
      <c r="K984" s="250"/>
    </row>
    <row r="985" spans="1:11">
      <c r="A985" s="19" t="s">
        <v>1246</v>
      </c>
      <c r="B985" s="245" t="s">
        <v>1276</v>
      </c>
      <c r="C985" s="18">
        <v>4</v>
      </c>
      <c r="D985" s="246" t="s">
        <v>423</v>
      </c>
      <c r="E985" s="247">
        <v>0</v>
      </c>
      <c r="F985" s="248" t="s">
        <v>825</v>
      </c>
      <c r="G985" s="248">
        <v>8</v>
      </c>
      <c r="H985" s="249">
        <v>17</v>
      </c>
      <c r="I985" s="259" t="s">
        <v>423</v>
      </c>
      <c r="J985" s="260"/>
      <c r="K985" s="250"/>
    </row>
    <row r="986" spans="1:11" ht="147">
      <c r="A986" s="19" t="s">
        <v>1246</v>
      </c>
      <c r="B986" s="245" t="s">
        <v>1276</v>
      </c>
      <c r="C986" s="18">
        <v>5</v>
      </c>
      <c r="D986" s="246" t="s">
        <v>1289</v>
      </c>
      <c r="E986" s="247">
        <v>0</v>
      </c>
      <c r="F986" s="248" t="s">
        <v>825</v>
      </c>
      <c r="G986" s="248">
        <v>2</v>
      </c>
      <c r="H986" s="249">
        <v>19</v>
      </c>
      <c r="I986" s="259" t="s">
        <v>1344</v>
      </c>
      <c r="J986" s="260"/>
      <c r="K986" s="250"/>
    </row>
    <row r="987" spans="1:11">
      <c r="A987" s="19" t="s">
        <v>1246</v>
      </c>
      <c r="B987" s="245" t="s">
        <v>1276</v>
      </c>
      <c r="C987" s="18">
        <v>6</v>
      </c>
      <c r="D987" s="246" t="s">
        <v>1290</v>
      </c>
      <c r="E987" s="247">
        <v>0</v>
      </c>
      <c r="F987" s="248" t="s">
        <v>825</v>
      </c>
      <c r="G987" s="248">
        <v>8</v>
      </c>
      <c r="H987" s="249">
        <v>27</v>
      </c>
      <c r="I987" s="259" t="s">
        <v>1290</v>
      </c>
      <c r="J987" s="260"/>
      <c r="K987" s="250"/>
    </row>
    <row r="988" spans="1:11">
      <c r="A988" s="19" t="s">
        <v>1246</v>
      </c>
      <c r="B988" s="245" t="s">
        <v>1276</v>
      </c>
      <c r="C988" s="18">
        <v>7</v>
      </c>
      <c r="D988" s="246" t="s">
        <v>1288</v>
      </c>
      <c r="E988" s="247">
        <v>1</v>
      </c>
      <c r="F988" s="248" t="s">
        <v>824</v>
      </c>
      <c r="G988" s="248">
        <v>6</v>
      </c>
      <c r="H988" s="249">
        <v>33</v>
      </c>
      <c r="I988" s="259" t="s">
        <v>1288</v>
      </c>
      <c r="J988" s="260"/>
      <c r="K988" s="250"/>
    </row>
    <row r="989" spans="1:11">
      <c r="A989" s="19" t="s">
        <v>1246</v>
      </c>
      <c r="B989" s="245" t="s">
        <v>1276</v>
      </c>
      <c r="C989" s="18">
        <v>8</v>
      </c>
      <c r="D989" s="246" t="s">
        <v>1292</v>
      </c>
      <c r="E989" s="247">
        <v>2</v>
      </c>
      <c r="F989" s="248" t="s">
        <v>824</v>
      </c>
      <c r="G989" s="248">
        <v>7</v>
      </c>
      <c r="H989" s="249">
        <v>40</v>
      </c>
      <c r="I989" s="259" t="s">
        <v>1292</v>
      </c>
      <c r="J989" s="260"/>
      <c r="K989" s="250"/>
    </row>
    <row r="990" spans="1:11">
      <c r="A990" s="19" t="s">
        <v>1246</v>
      </c>
      <c r="B990" s="245" t="s">
        <v>1276</v>
      </c>
      <c r="C990" s="18">
        <v>9</v>
      </c>
      <c r="D990" s="246" t="s">
        <v>1293</v>
      </c>
      <c r="E990" s="247">
        <v>1</v>
      </c>
      <c r="F990" s="248" t="s">
        <v>824</v>
      </c>
      <c r="G990" s="248">
        <v>6</v>
      </c>
      <c r="H990" s="249">
        <v>46</v>
      </c>
      <c r="I990" s="259" t="s">
        <v>1346</v>
      </c>
      <c r="J990" s="260"/>
      <c r="K990" s="250"/>
    </row>
    <row r="991" spans="1:11">
      <c r="A991" s="19" t="s">
        <v>1246</v>
      </c>
      <c r="B991" s="245" t="s">
        <v>1276</v>
      </c>
      <c r="C991" s="18">
        <v>10</v>
      </c>
      <c r="D991" s="246" t="s">
        <v>881</v>
      </c>
      <c r="E991" s="247">
        <v>0</v>
      </c>
      <c r="F991" s="248" t="s">
        <v>825</v>
      </c>
      <c r="G991" s="248">
        <v>33</v>
      </c>
      <c r="H991" s="249">
        <v>79</v>
      </c>
      <c r="I991" s="259" t="s">
        <v>881</v>
      </c>
      <c r="J991" s="260"/>
      <c r="K991" s="250"/>
    </row>
    <row r="992" spans="1:11">
      <c r="A992" s="256" t="s">
        <v>1246</v>
      </c>
      <c r="B992" s="245" t="s">
        <v>1276</v>
      </c>
      <c r="C992" s="38">
        <v>11</v>
      </c>
      <c r="D992" s="246" t="s">
        <v>634</v>
      </c>
      <c r="E992" s="252">
        <v>0</v>
      </c>
      <c r="F992" s="253" t="s">
        <v>825</v>
      </c>
      <c r="G992" s="253">
        <v>1</v>
      </c>
      <c r="H992" s="254">
        <v>80</v>
      </c>
      <c r="I992" s="261" t="s">
        <v>1342</v>
      </c>
      <c r="J992" s="261"/>
      <c r="K992" s="255"/>
    </row>
    <row r="993" spans="1:11">
      <c r="A993" s="32" t="s">
        <v>1216</v>
      </c>
      <c r="B993" s="310" t="s">
        <v>1278</v>
      </c>
      <c r="C993" s="240">
        <v>1</v>
      </c>
      <c r="D993" s="246" t="s">
        <v>389</v>
      </c>
      <c r="E993" s="305">
        <v>0</v>
      </c>
      <c r="F993" s="306" t="s">
        <v>825</v>
      </c>
      <c r="G993" s="306">
        <v>2</v>
      </c>
      <c r="H993" s="243">
        <f>G993</f>
        <v>2</v>
      </c>
      <c r="I993" s="291" t="s">
        <v>1337</v>
      </c>
      <c r="J993" s="291"/>
      <c r="K993" s="244"/>
    </row>
    <row r="994" spans="1:11">
      <c r="A994" s="32" t="s">
        <v>1216</v>
      </c>
      <c r="B994" s="304" t="s">
        <v>1278</v>
      </c>
      <c r="C994" s="18">
        <v>2</v>
      </c>
      <c r="D994" s="246" t="s">
        <v>706</v>
      </c>
      <c r="E994" s="289">
        <v>0</v>
      </c>
      <c r="F994" s="290" t="s">
        <v>825</v>
      </c>
      <c r="G994" s="290">
        <v>3</v>
      </c>
      <c r="H994" s="249">
        <f>G994+H993</f>
        <v>5</v>
      </c>
      <c r="I994" s="291" t="s">
        <v>1338</v>
      </c>
      <c r="J994" s="292" t="s">
        <v>1339</v>
      </c>
      <c r="K994" s="250"/>
    </row>
    <row r="995" spans="1:11">
      <c r="A995" s="32" t="s">
        <v>1216</v>
      </c>
      <c r="B995" s="304" t="s">
        <v>1278</v>
      </c>
      <c r="C995" s="18">
        <v>3</v>
      </c>
      <c r="D995" s="246" t="s">
        <v>1286</v>
      </c>
      <c r="E995" s="289">
        <v>0</v>
      </c>
      <c r="F995" s="290" t="s">
        <v>825</v>
      </c>
      <c r="G995" s="290">
        <v>4</v>
      </c>
      <c r="H995" s="249">
        <f t="shared" ref="H995:H1003" si="57">G995+H994</f>
        <v>9</v>
      </c>
      <c r="I995" s="291" t="s">
        <v>1286</v>
      </c>
      <c r="J995" s="292"/>
      <c r="K995" s="250"/>
    </row>
    <row r="996" spans="1:11">
      <c r="A996" s="32" t="s">
        <v>1216</v>
      </c>
      <c r="B996" s="304" t="s">
        <v>1278</v>
      </c>
      <c r="C996" s="18">
        <v>4</v>
      </c>
      <c r="D996" s="246" t="s">
        <v>423</v>
      </c>
      <c r="E996" s="289">
        <v>0</v>
      </c>
      <c r="F996" s="290" t="s">
        <v>825</v>
      </c>
      <c r="G996" s="290">
        <v>8</v>
      </c>
      <c r="H996" s="249">
        <f t="shared" si="57"/>
        <v>17</v>
      </c>
      <c r="I996" s="291" t="s">
        <v>423</v>
      </c>
      <c r="J996" s="292"/>
      <c r="K996" s="250"/>
    </row>
    <row r="997" spans="1:11" ht="22.5">
      <c r="A997" s="32" t="s">
        <v>1216</v>
      </c>
      <c r="B997" s="304" t="s">
        <v>1278</v>
      </c>
      <c r="C997" s="18">
        <v>5</v>
      </c>
      <c r="D997" s="246" t="s">
        <v>1289</v>
      </c>
      <c r="E997" s="289">
        <v>0</v>
      </c>
      <c r="F997" s="290" t="s">
        <v>825</v>
      </c>
      <c r="G997" s="290">
        <v>2</v>
      </c>
      <c r="H997" s="249">
        <f t="shared" si="57"/>
        <v>19</v>
      </c>
      <c r="I997" s="246" t="s">
        <v>1345</v>
      </c>
      <c r="K997" s="250"/>
    </row>
    <row r="998" spans="1:11">
      <c r="A998" s="32" t="s">
        <v>1216</v>
      </c>
      <c r="B998" s="304" t="s">
        <v>1278</v>
      </c>
      <c r="C998" s="18">
        <v>6</v>
      </c>
      <c r="D998" s="246" t="s">
        <v>1290</v>
      </c>
      <c r="E998" s="297">
        <v>0</v>
      </c>
      <c r="F998" s="290" t="s">
        <v>825</v>
      </c>
      <c r="G998" s="298">
        <v>8</v>
      </c>
      <c r="H998" s="249">
        <f t="shared" si="57"/>
        <v>27</v>
      </c>
      <c r="I998" s="291" t="s">
        <v>1290</v>
      </c>
      <c r="K998" s="250"/>
    </row>
    <row r="999" spans="1:11">
      <c r="A999" s="32" t="s">
        <v>1216</v>
      </c>
      <c r="B999" s="304" t="s">
        <v>1278</v>
      </c>
      <c r="C999" s="18">
        <v>7</v>
      </c>
      <c r="D999" s="246" t="s">
        <v>1288</v>
      </c>
      <c r="E999" s="297">
        <v>1</v>
      </c>
      <c r="F999" s="290" t="s">
        <v>824</v>
      </c>
      <c r="G999" s="298">
        <v>6</v>
      </c>
      <c r="H999" s="249">
        <f t="shared" si="57"/>
        <v>33</v>
      </c>
      <c r="I999" s="291" t="s">
        <v>1288</v>
      </c>
      <c r="K999" s="250"/>
    </row>
    <row r="1000" spans="1:11">
      <c r="A1000" s="32" t="s">
        <v>1216</v>
      </c>
      <c r="B1000" s="304" t="s">
        <v>1278</v>
      </c>
      <c r="C1000" s="18">
        <v>8</v>
      </c>
      <c r="D1000" s="246" t="s">
        <v>1292</v>
      </c>
      <c r="E1000" s="297">
        <v>2</v>
      </c>
      <c r="F1000" s="290" t="s">
        <v>824</v>
      </c>
      <c r="G1000" s="298">
        <v>7</v>
      </c>
      <c r="H1000" s="249">
        <f t="shared" si="57"/>
        <v>40</v>
      </c>
      <c r="I1000" s="291" t="s">
        <v>1292</v>
      </c>
      <c r="K1000" s="250"/>
    </row>
    <row r="1001" spans="1:11">
      <c r="A1001" s="32" t="s">
        <v>1216</v>
      </c>
      <c r="B1001" s="304" t="s">
        <v>1278</v>
      </c>
      <c r="C1001" s="18">
        <v>9</v>
      </c>
      <c r="D1001" s="246" t="s">
        <v>1293</v>
      </c>
      <c r="E1001" s="297">
        <v>3</v>
      </c>
      <c r="F1001" s="290" t="s">
        <v>824</v>
      </c>
      <c r="G1001" s="298">
        <v>6</v>
      </c>
      <c r="H1001" s="249">
        <f t="shared" si="57"/>
        <v>46</v>
      </c>
      <c r="I1001" s="291" t="s">
        <v>1346</v>
      </c>
      <c r="K1001" s="250"/>
    </row>
    <row r="1002" spans="1:11">
      <c r="A1002" s="32" t="s">
        <v>1216</v>
      </c>
      <c r="B1002" s="304" t="s">
        <v>1278</v>
      </c>
      <c r="C1002" s="18">
        <v>10</v>
      </c>
      <c r="D1002" s="246" t="s">
        <v>881</v>
      </c>
      <c r="E1002" s="297">
        <v>0</v>
      </c>
      <c r="F1002" s="290" t="s">
        <v>825</v>
      </c>
      <c r="G1002" s="298">
        <v>33</v>
      </c>
      <c r="H1002" s="249">
        <f t="shared" si="57"/>
        <v>79</v>
      </c>
      <c r="I1002" s="291" t="s">
        <v>881</v>
      </c>
      <c r="K1002" s="250"/>
    </row>
    <row r="1003" spans="1:11">
      <c r="A1003" s="32" t="s">
        <v>1216</v>
      </c>
      <c r="B1003" s="304" t="s">
        <v>1278</v>
      </c>
      <c r="C1003" s="38">
        <v>11</v>
      </c>
      <c r="D1003" s="246" t="s">
        <v>634</v>
      </c>
      <c r="E1003" s="301">
        <v>0</v>
      </c>
      <c r="F1003" s="302" t="s">
        <v>825</v>
      </c>
      <c r="G1003" s="302">
        <v>1</v>
      </c>
      <c r="H1003" s="254">
        <f t="shared" si="57"/>
        <v>80</v>
      </c>
      <c r="I1003" s="303" t="s">
        <v>1342</v>
      </c>
      <c r="J1003" s="309"/>
      <c r="K1003" s="255"/>
    </row>
    <row r="1004" spans="1:11">
      <c r="A1004" s="238" t="s">
        <v>1247</v>
      </c>
      <c r="B1004" s="239" t="s">
        <v>1279</v>
      </c>
      <c r="C1004" s="240">
        <v>1</v>
      </c>
      <c r="D1004" s="246" t="s">
        <v>389</v>
      </c>
      <c r="E1004" s="241">
        <v>0</v>
      </c>
      <c r="F1004" s="242" t="s">
        <v>825</v>
      </c>
      <c r="G1004" s="242">
        <v>2</v>
      </c>
      <c r="H1004" s="243">
        <v>2</v>
      </c>
      <c r="I1004" s="259" t="s">
        <v>1337</v>
      </c>
      <c r="J1004" s="260"/>
      <c r="K1004" s="244"/>
    </row>
    <row r="1005" spans="1:11">
      <c r="A1005" s="19" t="s">
        <v>1247</v>
      </c>
      <c r="B1005" s="245" t="s">
        <v>1279</v>
      </c>
      <c r="C1005" s="18">
        <v>2</v>
      </c>
      <c r="D1005" s="246" t="s">
        <v>706</v>
      </c>
      <c r="E1005" s="247">
        <v>0</v>
      </c>
      <c r="F1005" s="248" t="s">
        <v>825</v>
      </c>
      <c r="G1005" s="248">
        <v>3</v>
      </c>
      <c r="H1005" s="249">
        <v>5</v>
      </c>
      <c r="I1005" s="259" t="s">
        <v>1338</v>
      </c>
      <c r="J1005" s="260" t="s">
        <v>1339</v>
      </c>
      <c r="K1005" s="250"/>
    </row>
    <row r="1006" spans="1:11">
      <c r="A1006" s="19" t="s">
        <v>1247</v>
      </c>
      <c r="B1006" s="245" t="s">
        <v>1279</v>
      </c>
      <c r="C1006" s="18">
        <v>3</v>
      </c>
      <c r="D1006" s="246" t="s">
        <v>1286</v>
      </c>
      <c r="E1006" s="247">
        <v>0</v>
      </c>
      <c r="F1006" s="248" t="s">
        <v>825</v>
      </c>
      <c r="G1006" s="248">
        <v>4</v>
      </c>
      <c r="H1006" s="249">
        <v>9</v>
      </c>
      <c r="I1006" s="259" t="s">
        <v>1286</v>
      </c>
      <c r="J1006" s="260"/>
      <c r="K1006" s="250"/>
    </row>
    <row r="1007" spans="1:11">
      <c r="A1007" s="19" t="s">
        <v>1247</v>
      </c>
      <c r="B1007" s="245" t="s">
        <v>1279</v>
      </c>
      <c r="C1007" s="18">
        <v>4</v>
      </c>
      <c r="D1007" s="246" t="s">
        <v>1294</v>
      </c>
      <c r="E1007" s="247">
        <v>0</v>
      </c>
      <c r="F1007" s="248" t="s">
        <v>825</v>
      </c>
      <c r="G1007" s="248">
        <v>8</v>
      </c>
      <c r="H1007" s="249">
        <v>17</v>
      </c>
      <c r="I1007" s="259" t="s">
        <v>1294</v>
      </c>
      <c r="J1007" s="260"/>
      <c r="K1007" s="250"/>
    </row>
    <row r="1008" spans="1:11" ht="136.5">
      <c r="A1008" s="19" t="s">
        <v>1247</v>
      </c>
      <c r="B1008" s="245" t="s">
        <v>1279</v>
      </c>
      <c r="C1008" s="18">
        <v>5</v>
      </c>
      <c r="D1008" s="246" t="s">
        <v>1295</v>
      </c>
      <c r="E1008" s="247">
        <v>0</v>
      </c>
      <c r="F1008" s="248" t="s">
        <v>825</v>
      </c>
      <c r="G1008" s="248">
        <v>3</v>
      </c>
      <c r="H1008" s="249">
        <v>20</v>
      </c>
      <c r="I1008" s="259" t="s">
        <v>1340</v>
      </c>
      <c r="J1008" s="260"/>
      <c r="K1008" s="250"/>
    </row>
    <row r="1009" spans="1:11">
      <c r="A1009" s="19" t="s">
        <v>1247</v>
      </c>
      <c r="B1009" s="245" t="s">
        <v>1279</v>
      </c>
      <c r="C1009" s="18">
        <v>6</v>
      </c>
      <c r="D1009" s="246" t="s">
        <v>1296</v>
      </c>
      <c r="E1009" s="247">
        <v>5</v>
      </c>
      <c r="F1009" s="248" t="s">
        <v>824</v>
      </c>
      <c r="G1009" s="248">
        <v>10</v>
      </c>
      <c r="H1009" s="249">
        <v>30</v>
      </c>
      <c r="I1009" s="259" t="s">
        <v>1296</v>
      </c>
      <c r="J1009" s="260"/>
      <c r="K1009" s="250"/>
    </row>
    <row r="1010" spans="1:11">
      <c r="A1010" s="19" t="s">
        <v>1247</v>
      </c>
      <c r="B1010" s="245" t="s">
        <v>1279</v>
      </c>
      <c r="C1010" s="18">
        <v>7</v>
      </c>
      <c r="D1010" s="246" t="s">
        <v>1297</v>
      </c>
      <c r="E1010" s="247">
        <v>2</v>
      </c>
      <c r="F1010" s="248" t="s">
        <v>824</v>
      </c>
      <c r="G1010" s="248">
        <v>7</v>
      </c>
      <c r="H1010" s="249">
        <v>37</v>
      </c>
      <c r="I1010" s="259" t="s">
        <v>1297</v>
      </c>
      <c r="J1010" s="260"/>
      <c r="K1010" s="250"/>
    </row>
    <row r="1011" spans="1:11">
      <c r="A1011" s="19" t="s">
        <v>1247</v>
      </c>
      <c r="B1011" s="245" t="s">
        <v>1279</v>
      </c>
      <c r="C1011" s="18">
        <v>8</v>
      </c>
      <c r="D1011" s="246" t="s">
        <v>881</v>
      </c>
      <c r="E1011" s="247">
        <v>0</v>
      </c>
      <c r="F1011" s="248" t="s">
        <v>825</v>
      </c>
      <c r="G1011" s="248">
        <v>42</v>
      </c>
      <c r="H1011" s="249">
        <v>79</v>
      </c>
      <c r="I1011" s="259" t="s">
        <v>881</v>
      </c>
      <c r="J1011" s="260"/>
      <c r="K1011" s="250"/>
    </row>
    <row r="1012" spans="1:11">
      <c r="A1012" s="256" t="s">
        <v>1247</v>
      </c>
      <c r="B1012" s="245" t="s">
        <v>1279</v>
      </c>
      <c r="C1012" s="38">
        <v>9</v>
      </c>
      <c r="D1012" s="246" t="s">
        <v>634</v>
      </c>
      <c r="E1012" s="252">
        <v>0</v>
      </c>
      <c r="F1012" s="253" t="s">
        <v>825</v>
      </c>
      <c r="G1012" s="253">
        <v>1</v>
      </c>
      <c r="H1012" s="254">
        <v>80</v>
      </c>
      <c r="I1012" s="262" t="s">
        <v>1342</v>
      </c>
      <c r="J1012" s="261"/>
      <c r="K1012" s="255"/>
    </row>
    <row r="1013" spans="1:11">
      <c r="A1013" s="238" t="s">
        <v>1248</v>
      </c>
      <c r="B1013" s="239" t="s">
        <v>1280</v>
      </c>
      <c r="C1013" s="240">
        <v>1</v>
      </c>
      <c r="D1013" s="246" t="s">
        <v>389</v>
      </c>
      <c r="E1013" s="241">
        <v>0</v>
      </c>
      <c r="F1013" s="242" t="s">
        <v>825</v>
      </c>
      <c r="G1013" s="242">
        <v>2</v>
      </c>
      <c r="H1013" s="243">
        <v>2</v>
      </c>
      <c r="I1013" s="259" t="s">
        <v>1337</v>
      </c>
      <c r="J1013" s="260"/>
      <c r="K1013" s="244"/>
    </row>
    <row r="1014" spans="1:11">
      <c r="A1014" s="19" t="s">
        <v>1248</v>
      </c>
      <c r="B1014" s="245" t="s">
        <v>1280</v>
      </c>
      <c r="C1014" s="18">
        <v>2</v>
      </c>
      <c r="D1014" s="246" t="s">
        <v>706</v>
      </c>
      <c r="E1014" s="247">
        <v>0</v>
      </c>
      <c r="F1014" s="248" t="s">
        <v>825</v>
      </c>
      <c r="G1014" s="248">
        <v>3</v>
      </c>
      <c r="H1014" s="249">
        <v>5</v>
      </c>
      <c r="I1014" s="259" t="s">
        <v>1338</v>
      </c>
      <c r="J1014" s="260" t="s">
        <v>1339</v>
      </c>
      <c r="K1014" s="250"/>
    </row>
    <row r="1015" spans="1:11">
      <c r="A1015" s="19" t="s">
        <v>1248</v>
      </c>
      <c r="B1015" s="245" t="s">
        <v>1280</v>
      </c>
      <c r="C1015" s="18">
        <v>3</v>
      </c>
      <c r="D1015" s="246" t="s">
        <v>1286</v>
      </c>
      <c r="E1015" s="247">
        <v>0</v>
      </c>
      <c r="F1015" s="248" t="s">
        <v>825</v>
      </c>
      <c r="G1015" s="248">
        <v>4</v>
      </c>
      <c r="H1015" s="249">
        <v>9</v>
      </c>
      <c r="I1015" s="259" t="s">
        <v>1286</v>
      </c>
      <c r="J1015" s="260"/>
      <c r="K1015" s="250"/>
    </row>
    <row r="1016" spans="1:11">
      <c r="A1016" s="19" t="s">
        <v>1248</v>
      </c>
      <c r="B1016" s="245" t="s">
        <v>1280</v>
      </c>
      <c r="C1016" s="18">
        <v>4</v>
      </c>
      <c r="D1016" s="246" t="s">
        <v>423</v>
      </c>
      <c r="E1016" s="247">
        <v>0</v>
      </c>
      <c r="F1016" s="248" t="s">
        <v>825</v>
      </c>
      <c r="G1016" s="248">
        <v>8</v>
      </c>
      <c r="H1016" s="249">
        <v>17</v>
      </c>
      <c r="I1016" s="259" t="s">
        <v>423</v>
      </c>
      <c r="J1016" s="260"/>
      <c r="K1016" s="250"/>
    </row>
    <row r="1017" spans="1:11" ht="147">
      <c r="A1017" s="19" t="s">
        <v>1248</v>
      </c>
      <c r="B1017" s="245" t="s">
        <v>1280</v>
      </c>
      <c r="C1017" s="18">
        <v>5</v>
      </c>
      <c r="D1017" s="246" t="s">
        <v>1289</v>
      </c>
      <c r="E1017" s="247">
        <v>0</v>
      </c>
      <c r="F1017" s="248" t="s">
        <v>825</v>
      </c>
      <c r="G1017" s="248">
        <v>2</v>
      </c>
      <c r="H1017" s="249">
        <v>19</v>
      </c>
      <c r="I1017" s="259" t="s">
        <v>1343</v>
      </c>
      <c r="J1017" s="260"/>
      <c r="K1017" s="250"/>
    </row>
    <row r="1018" spans="1:11">
      <c r="A1018" s="19" t="s">
        <v>1248</v>
      </c>
      <c r="B1018" s="245" t="s">
        <v>1280</v>
      </c>
      <c r="C1018" s="18">
        <v>6</v>
      </c>
      <c r="D1018" s="246" t="s">
        <v>1290</v>
      </c>
      <c r="E1018" s="247">
        <v>0</v>
      </c>
      <c r="F1018" s="248" t="s">
        <v>825</v>
      </c>
      <c r="G1018" s="248">
        <v>8</v>
      </c>
      <c r="H1018" s="249">
        <v>27</v>
      </c>
      <c r="I1018" s="259" t="s">
        <v>1290</v>
      </c>
      <c r="J1018" s="260"/>
      <c r="K1018" s="250"/>
    </row>
    <row r="1019" spans="1:11">
      <c r="A1019" s="19" t="s">
        <v>1248</v>
      </c>
      <c r="B1019" s="245" t="s">
        <v>1280</v>
      </c>
      <c r="C1019" s="18">
        <v>7</v>
      </c>
      <c r="D1019" s="246" t="s">
        <v>1298</v>
      </c>
      <c r="E1019" s="247">
        <v>0</v>
      </c>
      <c r="F1019" s="248" t="s">
        <v>1249</v>
      </c>
      <c r="G1019" s="248">
        <v>5</v>
      </c>
      <c r="H1019" s="249">
        <v>32</v>
      </c>
      <c r="I1019" s="259" t="s">
        <v>1298</v>
      </c>
      <c r="J1019" s="260"/>
      <c r="K1019" s="250"/>
    </row>
    <row r="1020" spans="1:11">
      <c r="A1020" s="19" t="s">
        <v>1248</v>
      </c>
      <c r="B1020" s="245" t="s">
        <v>1280</v>
      </c>
      <c r="C1020" s="18">
        <v>8</v>
      </c>
      <c r="D1020" s="246" t="s">
        <v>1299</v>
      </c>
      <c r="E1020" s="247">
        <v>0</v>
      </c>
      <c r="F1020" s="248" t="s">
        <v>1249</v>
      </c>
      <c r="G1020" s="248">
        <v>5</v>
      </c>
      <c r="H1020" s="249">
        <v>37</v>
      </c>
      <c r="I1020" s="259" t="s">
        <v>1299</v>
      </c>
      <c r="J1020" s="260"/>
      <c r="K1020" s="250"/>
    </row>
    <row r="1021" spans="1:11">
      <c r="A1021" s="19" t="s">
        <v>1248</v>
      </c>
      <c r="B1021" s="245" t="s">
        <v>1280</v>
      </c>
      <c r="C1021" s="18">
        <v>9</v>
      </c>
      <c r="D1021" s="246" t="s">
        <v>1300</v>
      </c>
      <c r="E1021" s="247">
        <v>0</v>
      </c>
      <c r="F1021" s="248" t="s">
        <v>1249</v>
      </c>
      <c r="G1021" s="248">
        <v>5</v>
      </c>
      <c r="H1021" s="249">
        <v>42</v>
      </c>
      <c r="I1021" s="259" t="s">
        <v>1300</v>
      </c>
      <c r="J1021" s="260"/>
      <c r="K1021" s="250"/>
    </row>
    <row r="1022" spans="1:11">
      <c r="A1022" s="19" t="s">
        <v>1248</v>
      </c>
      <c r="B1022" s="245" t="s">
        <v>1280</v>
      </c>
      <c r="C1022" s="18">
        <v>10</v>
      </c>
      <c r="D1022" s="246" t="s">
        <v>1301</v>
      </c>
      <c r="E1022" s="247">
        <v>0</v>
      </c>
      <c r="F1022" s="248" t="s">
        <v>1249</v>
      </c>
      <c r="G1022" s="248">
        <v>5</v>
      </c>
      <c r="H1022" s="249">
        <v>47</v>
      </c>
      <c r="I1022" s="259" t="s">
        <v>1301</v>
      </c>
      <c r="J1022" s="260"/>
      <c r="K1022" s="250"/>
    </row>
    <row r="1023" spans="1:11">
      <c r="A1023" s="19" t="s">
        <v>1248</v>
      </c>
      <c r="B1023" s="245" t="s">
        <v>1280</v>
      </c>
      <c r="C1023" s="18">
        <v>11</v>
      </c>
      <c r="D1023" s="246" t="s">
        <v>1302</v>
      </c>
      <c r="E1023" s="247">
        <v>0</v>
      </c>
      <c r="F1023" s="248" t="s">
        <v>1249</v>
      </c>
      <c r="G1023" s="248">
        <v>5</v>
      </c>
      <c r="H1023" s="249">
        <v>52</v>
      </c>
      <c r="I1023" s="259" t="s">
        <v>1302</v>
      </c>
      <c r="J1023" s="260"/>
      <c r="K1023" s="250"/>
    </row>
    <row r="1024" spans="1:11">
      <c r="A1024" s="19" t="s">
        <v>1248</v>
      </c>
      <c r="B1024" s="245" t="s">
        <v>1280</v>
      </c>
      <c r="C1024" s="18">
        <v>12</v>
      </c>
      <c r="D1024" s="246" t="s">
        <v>1303</v>
      </c>
      <c r="E1024" s="247">
        <v>1</v>
      </c>
      <c r="F1024" s="248" t="s">
        <v>824</v>
      </c>
      <c r="G1024" s="248">
        <v>6</v>
      </c>
      <c r="H1024" s="249">
        <v>58</v>
      </c>
      <c r="I1024" s="259" t="s">
        <v>1303</v>
      </c>
      <c r="J1024" s="260"/>
      <c r="K1024" s="250"/>
    </row>
    <row r="1025" spans="1:11">
      <c r="A1025" s="19" t="s">
        <v>1248</v>
      </c>
      <c r="B1025" s="245" t="s">
        <v>1280</v>
      </c>
      <c r="C1025" s="18">
        <v>13</v>
      </c>
      <c r="D1025" s="246" t="s">
        <v>881</v>
      </c>
      <c r="E1025" s="247">
        <v>0</v>
      </c>
      <c r="F1025" s="248" t="s">
        <v>825</v>
      </c>
      <c r="G1025" s="248">
        <v>21</v>
      </c>
      <c r="H1025" s="249">
        <v>79</v>
      </c>
      <c r="I1025" s="259" t="s">
        <v>881</v>
      </c>
      <c r="J1025" s="260"/>
      <c r="K1025" s="250"/>
    </row>
    <row r="1026" spans="1:11">
      <c r="A1026" s="256" t="s">
        <v>1248</v>
      </c>
      <c r="B1026" s="245" t="s">
        <v>1280</v>
      </c>
      <c r="C1026" s="38">
        <v>14</v>
      </c>
      <c r="D1026" s="246" t="s">
        <v>634</v>
      </c>
      <c r="E1026" s="252">
        <v>0</v>
      </c>
      <c r="F1026" s="253" t="s">
        <v>825</v>
      </c>
      <c r="G1026" s="253">
        <v>1</v>
      </c>
      <c r="H1026" s="254">
        <v>80</v>
      </c>
      <c r="I1026" s="261" t="s">
        <v>1342</v>
      </c>
      <c r="J1026" s="261"/>
      <c r="K1026" s="255"/>
    </row>
    <row r="1027" spans="1:11">
      <c r="A1027" s="238" t="s">
        <v>1221</v>
      </c>
      <c r="B1027" s="239" t="s">
        <v>1281</v>
      </c>
      <c r="C1027" s="240">
        <v>1</v>
      </c>
      <c r="D1027" s="246" t="s">
        <v>389</v>
      </c>
      <c r="E1027" s="241">
        <v>0</v>
      </c>
      <c r="F1027" s="242" t="s">
        <v>825</v>
      </c>
      <c r="G1027" s="242">
        <v>2</v>
      </c>
      <c r="H1027" s="243">
        <v>2</v>
      </c>
      <c r="I1027" s="259" t="s">
        <v>1337</v>
      </c>
      <c r="J1027" s="259"/>
      <c r="K1027" s="244"/>
    </row>
    <row r="1028" spans="1:11">
      <c r="A1028" s="19" t="s">
        <v>1221</v>
      </c>
      <c r="B1028" s="245" t="s">
        <v>1281</v>
      </c>
      <c r="C1028" s="18">
        <v>2</v>
      </c>
      <c r="D1028" s="246" t="s">
        <v>706</v>
      </c>
      <c r="E1028" s="247">
        <v>0</v>
      </c>
      <c r="F1028" s="248" t="s">
        <v>825</v>
      </c>
      <c r="G1028" s="248">
        <v>3</v>
      </c>
      <c r="H1028" s="249">
        <v>5</v>
      </c>
      <c r="I1028" s="259" t="s">
        <v>1338</v>
      </c>
      <c r="J1028" s="260" t="s">
        <v>1339</v>
      </c>
      <c r="K1028" s="250"/>
    </row>
    <row r="1029" spans="1:11">
      <c r="A1029" s="19" t="s">
        <v>1221</v>
      </c>
      <c r="B1029" s="245" t="s">
        <v>1281</v>
      </c>
      <c r="C1029" s="18">
        <v>3</v>
      </c>
      <c r="D1029" s="246" t="s">
        <v>1286</v>
      </c>
      <c r="E1029" s="247">
        <v>0</v>
      </c>
      <c r="F1029" s="248" t="s">
        <v>825</v>
      </c>
      <c r="G1029" s="248">
        <v>4</v>
      </c>
      <c r="H1029" s="249">
        <v>9</v>
      </c>
      <c r="I1029" s="259" t="s">
        <v>1286</v>
      </c>
      <c r="J1029" s="260"/>
      <c r="K1029" s="250"/>
    </row>
    <row r="1030" spans="1:11">
      <c r="A1030" s="19" t="s">
        <v>1221</v>
      </c>
      <c r="B1030" s="245" t="s">
        <v>1281</v>
      </c>
      <c r="C1030" s="18">
        <v>4</v>
      </c>
      <c r="D1030" s="246" t="s">
        <v>1294</v>
      </c>
      <c r="E1030" s="247">
        <v>0</v>
      </c>
      <c r="F1030" s="248" t="s">
        <v>825</v>
      </c>
      <c r="G1030" s="248">
        <v>8</v>
      </c>
      <c r="H1030" s="249">
        <v>17</v>
      </c>
      <c r="I1030" s="259" t="s">
        <v>1294</v>
      </c>
      <c r="J1030" s="260"/>
      <c r="K1030" s="250"/>
    </row>
    <row r="1031" spans="1:11" ht="147">
      <c r="A1031" s="19" t="s">
        <v>1221</v>
      </c>
      <c r="B1031" s="245" t="s">
        <v>1281</v>
      </c>
      <c r="C1031" s="18">
        <v>5</v>
      </c>
      <c r="D1031" s="246" t="s">
        <v>1289</v>
      </c>
      <c r="E1031" s="247">
        <v>0</v>
      </c>
      <c r="F1031" s="248" t="s">
        <v>825</v>
      </c>
      <c r="G1031" s="248">
        <v>2</v>
      </c>
      <c r="H1031" s="249">
        <v>19</v>
      </c>
      <c r="I1031" s="259" t="s">
        <v>1343</v>
      </c>
      <c r="J1031" s="260"/>
      <c r="K1031" s="250"/>
    </row>
    <row r="1032" spans="1:11">
      <c r="A1032" s="19" t="s">
        <v>1221</v>
      </c>
      <c r="B1032" s="245" t="s">
        <v>1281</v>
      </c>
      <c r="C1032" s="18">
        <v>6</v>
      </c>
      <c r="D1032" s="246" t="s">
        <v>1297</v>
      </c>
      <c r="E1032" s="247">
        <v>2</v>
      </c>
      <c r="F1032" s="248" t="s">
        <v>824</v>
      </c>
      <c r="G1032" s="248">
        <v>7</v>
      </c>
      <c r="H1032" s="249">
        <v>26</v>
      </c>
      <c r="I1032" s="259" t="s">
        <v>1297</v>
      </c>
      <c r="J1032" s="260"/>
      <c r="K1032" s="250"/>
    </row>
    <row r="1033" spans="1:11" ht="147">
      <c r="A1033" s="19" t="s">
        <v>1221</v>
      </c>
      <c r="B1033" s="245" t="s">
        <v>1281</v>
      </c>
      <c r="C1033" s="18">
        <v>7</v>
      </c>
      <c r="D1033" s="246" t="s">
        <v>1289</v>
      </c>
      <c r="E1033" s="247">
        <v>0</v>
      </c>
      <c r="F1033" s="248" t="s">
        <v>825</v>
      </c>
      <c r="G1033" s="248">
        <v>2</v>
      </c>
      <c r="H1033" s="249">
        <v>28</v>
      </c>
      <c r="I1033" s="259" t="s">
        <v>1343</v>
      </c>
      <c r="J1033" s="260"/>
      <c r="K1033" s="250"/>
    </row>
    <row r="1034" spans="1:11">
      <c r="A1034" s="19" t="s">
        <v>1221</v>
      </c>
      <c r="B1034" s="245" t="s">
        <v>1281</v>
      </c>
      <c r="C1034" s="18">
        <v>8</v>
      </c>
      <c r="D1034" s="246" t="s">
        <v>1297</v>
      </c>
      <c r="E1034" s="247">
        <v>2</v>
      </c>
      <c r="F1034" s="248" t="s">
        <v>824</v>
      </c>
      <c r="G1034" s="248">
        <v>7</v>
      </c>
      <c r="H1034" s="249">
        <v>35</v>
      </c>
      <c r="I1034" s="259" t="s">
        <v>1297</v>
      </c>
      <c r="J1034" s="260"/>
      <c r="K1034" s="250"/>
    </row>
    <row r="1035" spans="1:11" ht="147">
      <c r="A1035" s="19" t="s">
        <v>1221</v>
      </c>
      <c r="B1035" s="245" t="s">
        <v>1281</v>
      </c>
      <c r="C1035" s="18">
        <v>9</v>
      </c>
      <c r="D1035" s="246" t="s">
        <v>1289</v>
      </c>
      <c r="E1035" s="247">
        <v>0</v>
      </c>
      <c r="F1035" s="248" t="s">
        <v>825</v>
      </c>
      <c r="G1035" s="248">
        <v>2</v>
      </c>
      <c r="H1035" s="249">
        <v>37</v>
      </c>
      <c r="I1035" s="259" t="s">
        <v>1343</v>
      </c>
      <c r="J1035" s="260"/>
      <c r="K1035" s="250"/>
    </row>
    <row r="1036" spans="1:11">
      <c r="A1036" s="19" t="s">
        <v>1221</v>
      </c>
      <c r="B1036" s="245" t="s">
        <v>1281</v>
      </c>
      <c r="C1036" s="18">
        <v>10</v>
      </c>
      <c r="D1036" s="246" t="s">
        <v>1297</v>
      </c>
      <c r="E1036" s="247">
        <v>2</v>
      </c>
      <c r="F1036" s="248" t="s">
        <v>824</v>
      </c>
      <c r="G1036" s="248">
        <v>7</v>
      </c>
      <c r="H1036" s="249">
        <v>44</v>
      </c>
      <c r="I1036" s="259" t="s">
        <v>1297</v>
      </c>
      <c r="J1036" s="260"/>
      <c r="K1036" s="250"/>
    </row>
    <row r="1037" spans="1:11" ht="147">
      <c r="A1037" s="19" t="s">
        <v>1221</v>
      </c>
      <c r="B1037" s="245" t="s">
        <v>1281</v>
      </c>
      <c r="C1037" s="18">
        <v>11</v>
      </c>
      <c r="D1037" s="246" t="s">
        <v>1289</v>
      </c>
      <c r="E1037" s="247">
        <v>0</v>
      </c>
      <c r="F1037" s="248" t="s">
        <v>825</v>
      </c>
      <c r="G1037" s="248">
        <v>2</v>
      </c>
      <c r="H1037" s="249">
        <v>46</v>
      </c>
      <c r="I1037" s="259" t="s">
        <v>1343</v>
      </c>
      <c r="J1037" s="260"/>
      <c r="K1037" s="250"/>
    </row>
    <row r="1038" spans="1:11">
      <c r="A1038" s="19" t="s">
        <v>1221</v>
      </c>
      <c r="B1038" s="245" t="s">
        <v>1281</v>
      </c>
      <c r="C1038" s="18">
        <v>12</v>
      </c>
      <c r="D1038" s="246" t="s">
        <v>1297</v>
      </c>
      <c r="E1038" s="247">
        <v>2</v>
      </c>
      <c r="F1038" s="248" t="s">
        <v>824</v>
      </c>
      <c r="G1038" s="248">
        <v>7</v>
      </c>
      <c r="H1038" s="249">
        <v>53</v>
      </c>
      <c r="I1038" s="259" t="s">
        <v>1297</v>
      </c>
      <c r="J1038" s="260"/>
      <c r="K1038" s="250"/>
    </row>
    <row r="1039" spans="1:11">
      <c r="A1039" s="19" t="s">
        <v>1221</v>
      </c>
      <c r="B1039" s="245" t="s">
        <v>1281</v>
      </c>
      <c r="C1039" s="18">
        <v>13</v>
      </c>
      <c r="D1039" s="246" t="s">
        <v>881</v>
      </c>
      <c r="E1039" s="247">
        <v>0</v>
      </c>
      <c r="F1039" s="248" t="s">
        <v>825</v>
      </c>
      <c r="G1039" s="248">
        <v>26</v>
      </c>
      <c r="H1039" s="249">
        <v>79</v>
      </c>
      <c r="I1039" s="259" t="s">
        <v>881</v>
      </c>
      <c r="J1039" s="260"/>
      <c r="K1039" s="250"/>
    </row>
    <row r="1040" spans="1:11">
      <c r="A1040" s="256" t="s">
        <v>1221</v>
      </c>
      <c r="B1040" s="245" t="s">
        <v>1281</v>
      </c>
      <c r="C1040" s="38">
        <v>14</v>
      </c>
      <c r="D1040" s="246" t="s">
        <v>634</v>
      </c>
      <c r="E1040" s="252">
        <v>0</v>
      </c>
      <c r="F1040" s="253" t="s">
        <v>825</v>
      </c>
      <c r="G1040" s="253">
        <v>1</v>
      </c>
      <c r="H1040" s="254">
        <v>80</v>
      </c>
      <c r="I1040" s="259" t="s">
        <v>1342</v>
      </c>
      <c r="J1040" s="260"/>
      <c r="K1040" s="255"/>
    </row>
    <row r="1041" spans="1:11">
      <c r="A1041" s="238" t="s">
        <v>1222</v>
      </c>
      <c r="B1041" s="239" t="s">
        <v>1282</v>
      </c>
      <c r="C1041" s="240">
        <v>1</v>
      </c>
      <c r="D1041" s="246" t="s">
        <v>389</v>
      </c>
      <c r="E1041" s="241">
        <v>0</v>
      </c>
      <c r="F1041" s="242" t="s">
        <v>825</v>
      </c>
      <c r="G1041" s="242">
        <v>2</v>
      </c>
      <c r="H1041" s="243">
        <v>2</v>
      </c>
      <c r="I1041" s="260" t="s">
        <v>1337</v>
      </c>
      <c r="J1041" s="260"/>
      <c r="K1041" s="244"/>
    </row>
    <row r="1042" spans="1:11">
      <c r="A1042" s="19" t="s">
        <v>1222</v>
      </c>
      <c r="B1042" s="245" t="s">
        <v>1282</v>
      </c>
      <c r="C1042" s="18">
        <v>2</v>
      </c>
      <c r="D1042" s="246" t="s">
        <v>706</v>
      </c>
      <c r="E1042" s="247">
        <v>0</v>
      </c>
      <c r="F1042" s="248" t="s">
        <v>825</v>
      </c>
      <c r="G1042" s="248">
        <v>3</v>
      </c>
      <c r="H1042" s="249">
        <v>5</v>
      </c>
      <c r="I1042" s="259" t="s">
        <v>1338</v>
      </c>
      <c r="J1042" s="260" t="s">
        <v>1339</v>
      </c>
      <c r="K1042" s="250"/>
    </row>
    <row r="1043" spans="1:11">
      <c r="A1043" s="19" t="s">
        <v>1222</v>
      </c>
      <c r="B1043" s="245" t="s">
        <v>1282</v>
      </c>
      <c r="C1043" s="18">
        <v>3</v>
      </c>
      <c r="D1043" s="246" t="s">
        <v>1286</v>
      </c>
      <c r="E1043" s="247">
        <v>0</v>
      </c>
      <c r="F1043" s="248" t="s">
        <v>825</v>
      </c>
      <c r="G1043" s="248">
        <v>4</v>
      </c>
      <c r="H1043" s="249">
        <v>9</v>
      </c>
      <c r="I1043" s="259" t="s">
        <v>1286</v>
      </c>
      <c r="J1043" s="260"/>
      <c r="K1043" s="250"/>
    </row>
    <row r="1044" spans="1:11">
      <c r="A1044" s="19" t="s">
        <v>1222</v>
      </c>
      <c r="B1044" s="245" t="s">
        <v>1282</v>
      </c>
      <c r="C1044" s="18">
        <v>4</v>
      </c>
      <c r="D1044" s="246" t="s">
        <v>1294</v>
      </c>
      <c r="E1044" s="247">
        <v>0</v>
      </c>
      <c r="F1044" s="248" t="s">
        <v>825</v>
      </c>
      <c r="G1044" s="248">
        <v>8</v>
      </c>
      <c r="H1044" s="249">
        <v>17</v>
      </c>
      <c r="I1044" s="259" t="s">
        <v>1294</v>
      </c>
      <c r="J1044" s="260"/>
      <c r="K1044" s="250"/>
    </row>
    <row r="1045" spans="1:11" ht="147">
      <c r="A1045" s="19" t="s">
        <v>1222</v>
      </c>
      <c r="B1045" s="245" t="s">
        <v>1282</v>
      </c>
      <c r="C1045" s="18">
        <v>5</v>
      </c>
      <c r="D1045" s="246" t="s">
        <v>1289</v>
      </c>
      <c r="E1045" s="247">
        <v>0</v>
      </c>
      <c r="F1045" s="248" t="s">
        <v>825</v>
      </c>
      <c r="G1045" s="248">
        <v>2</v>
      </c>
      <c r="H1045" s="249">
        <v>19</v>
      </c>
      <c r="I1045" s="259" t="s">
        <v>1343</v>
      </c>
      <c r="J1045" s="260"/>
      <c r="K1045" s="250"/>
    </row>
    <row r="1046" spans="1:11">
      <c r="A1046" s="19" t="s">
        <v>1222</v>
      </c>
      <c r="B1046" s="245" t="s">
        <v>1282</v>
      </c>
      <c r="C1046" s="18">
        <v>6</v>
      </c>
      <c r="D1046" s="246" t="s">
        <v>1297</v>
      </c>
      <c r="E1046" s="247">
        <v>2</v>
      </c>
      <c r="F1046" s="248" t="s">
        <v>824</v>
      </c>
      <c r="G1046" s="248">
        <v>7</v>
      </c>
      <c r="H1046" s="249">
        <v>26</v>
      </c>
      <c r="I1046" s="259" t="s">
        <v>1297</v>
      </c>
      <c r="J1046" s="260"/>
      <c r="K1046" s="250"/>
    </row>
    <row r="1047" spans="1:11" ht="147">
      <c r="A1047" s="19" t="s">
        <v>1222</v>
      </c>
      <c r="B1047" s="245" t="s">
        <v>1282</v>
      </c>
      <c r="C1047" s="18">
        <v>7</v>
      </c>
      <c r="D1047" s="246" t="s">
        <v>1289</v>
      </c>
      <c r="E1047" s="247">
        <v>0</v>
      </c>
      <c r="F1047" s="248" t="s">
        <v>825</v>
      </c>
      <c r="G1047" s="248">
        <v>2</v>
      </c>
      <c r="H1047" s="249">
        <v>28</v>
      </c>
      <c r="I1047" s="259" t="s">
        <v>1343</v>
      </c>
      <c r="J1047" s="260"/>
      <c r="K1047" s="250"/>
    </row>
    <row r="1048" spans="1:11">
      <c r="A1048" s="19" t="s">
        <v>1222</v>
      </c>
      <c r="B1048" s="245" t="s">
        <v>1282</v>
      </c>
      <c r="C1048" s="18">
        <v>8</v>
      </c>
      <c r="D1048" s="246" t="s">
        <v>1297</v>
      </c>
      <c r="E1048" s="247">
        <v>2</v>
      </c>
      <c r="F1048" s="248" t="s">
        <v>824</v>
      </c>
      <c r="G1048" s="248">
        <v>7</v>
      </c>
      <c r="H1048" s="249">
        <v>35</v>
      </c>
      <c r="I1048" s="259" t="s">
        <v>1297</v>
      </c>
      <c r="J1048" s="260"/>
      <c r="K1048" s="250"/>
    </row>
    <row r="1049" spans="1:11" ht="147">
      <c r="A1049" s="19" t="s">
        <v>1222</v>
      </c>
      <c r="B1049" s="245" t="s">
        <v>1282</v>
      </c>
      <c r="C1049" s="18">
        <v>9</v>
      </c>
      <c r="D1049" s="246" t="s">
        <v>1289</v>
      </c>
      <c r="E1049" s="247">
        <v>0</v>
      </c>
      <c r="F1049" s="248" t="s">
        <v>825</v>
      </c>
      <c r="G1049" s="248">
        <v>2</v>
      </c>
      <c r="H1049" s="249">
        <v>37</v>
      </c>
      <c r="I1049" s="259" t="s">
        <v>1343</v>
      </c>
      <c r="J1049" s="260"/>
      <c r="K1049" s="250"/>
    </row>
    <row r="1050" spans="1:11">
      <c r="A1050" s="19" t="s">
        <v>1222</v>
      </c>
      <c r="B1050" s="245" t="s">
        <v>1282</v>
      </c>
      <c r="C1050" s="18">
        <v>10</v>
      </c>
      <c r="D1050" s="246" t="s">
        <v>1297</v>
      </c>
      <c r="E1050" s="247">
        <v>2</v>
      </c>
      <c r="F1050" s="248" t="s">
        <v>824</v>
      </c>
      <c r="G1050" s="248">
        <v>7</v>
      </c>
      <c r="H1050" s="249">
        <v>44</v>
      </c>
      <c r="I1050" s="259" t="s">
        <v>1297</v>
      </c>
      <c r="J1050" s="260"/>
      <c r="K1050" s="250"/>
    </row>
    <row r="1051" spans="1:11" ht="147">
      <c r="A1051" s="19" t="s">
        <v>1222</v>
      </c>
      <c r="B1051" s="245" t="s">
        <v>1282</v>
      </c>
      <c r="C1051" s="18">
        <v>11</v>
      </c>
      <c r="D1051" s="246" t="s">
        <v>1289</v>
      </c>
      <c r="E1051" s="247">
        <v>0</v>
      </c>
      <c r="F1051" s="248" t="s">
        <v>825</v>
      </c>
      <c r="G1051" s="248">
        <v>2</v>
      </c>
      <c r="H1051" s="249">
        <v>46</v>
      </c>
      <c r="I1051" s="259" t="s">
        <v>1343</v>
      </c>
      <c r="J1051" s="260"/>
      <c r="K1051" s="250"/>
    </row>
    <row r="1052" spans="1:11">
      <c r="A1052" s="19" t="s">
        <v>1222</v>
      </c>
      <c r="B1052" s="245" t="s">
        <v>1282</v>
      </c>
      <c r="C1052" s="18">
        <v>12</v>
      </c>
      <c r="D1052" s="246" t="s">
        <v>1297</v>
      </c>
      <c r="E1052" s="247">
        <v>2</v>
      </c>
      <c r="F1052" s="248" t="s">
        <v>824</v>
      </c>
      <c r="G1052" s="248">
        <v>7</v>
      </c>
      <c r="H1052" s="249">
        <v>53</v>
      </c>
      <c r="I1052" s="259" t="s">
        <v>1297</v>
      </c>
      <c r="J1052" s="260"/>
      <c r="K1052" s="250"/>
    </row>
    <row r="1053" spans="1:11">
      <c r="A1053" s="19" t="s">
        <v>1222</v>
      </c>
      <c r="B1053" s="245" t="s">
        <v>1282</v>
      </c>
      <c r="C1053" s="18">
        <v>13</v>
      </c>
      <c r="D1053" s="246" t="s">
        <v>881</v>
      </c>
      <c r="E1053" s="247">
        <v>0</v>
      </c>
      <c r="F1053" s="248" t="s">
        <v>825</v>
      </c>
      <c r="G1053" s="248">
        <v>26</v>
      </c>
      <c r="H1053" s="249">
        <v>79</v>
      </c>
      <c r="I1053" s="259" t="s">
        <v>881</v>
      </c>
      <c r="J1053" s="260"/>
      <c r="K1053" s="250"/>
    </row>
    <row r="1054" spans="1:11">
      <c r="A1054" s="256" t="s">
        <v>1222</v>
      </c>
      <c r="B1054" s="245" t="s">
        <v>1282</v>
      </c>
      <c r="C1054" s="38">
        <v>14</v>
      </c>
      <c r="D1054" s="246" t="s">
        <v>634</v>
      </c>
      <c r="E1054" s="252">
        <v>0</v>
      </c>
      <c r="F1054" s="253" t="s">
        <v>825</v>
      </c>
      <c r="G1054" s="253">
        <v>1</v>
      </c>
      <c r="H1054" s="254">
        <v>80</v>
      </c>
      <c r="I1054" s="262" t="s">
        <v>1342</v>
      </c>
      <c r="J1054" s="261"/>
      <c r="K1054" s="255"/>
    </row>
    <row r="1055" spans="1:11">
      <c r="A1055" s="238" t="s">
        <v>1223</v>
      </c>
      <c r="B1055" s="239" t="s">
        <v>1283</v>
      </c>
      <c r="C1055" s="240">
        <v>1</v>
      </c>
      <c r="D1055" s="246" t="s">
        <v>389</v>
      </c>
      <c r="E1055" s="241">
        <v>0</v>
      </c>
      <c r="F1055" s="242" t="s">
        <v>825</v>
      </c>
      <c r="G1055" s="242">
        <v>2</v>
      </c>
      <c r="H1055" s="243">
        <v>2</v>
      </c>
      <c r="I1055" s="259" t="s">
        <v>1337</v>
      </c>
      <c r="J1055" s="260"/>
      <c r="K1055" s="244"/>
    </row>
    <row r="1056" spans="1:11">
      <c r="A1056" s="19" t="s">
        <v>1223</v>
      </c>
      <c r="B1056" s="245" t="s">
        <v>1283</v>
      </c>
      <c r="C1056" s="18">
        <v>2</v>
      </c>
      <c r="D1056" s="246" t="s">
        <v>706</v>
      </c>
      <c r="E1056" s="247">
        <v>0</v>
      </c>
      <c r="F1056" s="248" t="s">
        <v>825</v>
      </c>
      <c r="G1056" s="248">
        <v>3</v>
      </c>
      <c r="H1056" s="249">
        <v>5</v>
      </c>
      <c r="I1056" s="259" t="s">
        <v>1338</v>
      </c>
      <c r="J1056" s="260" t="s">
        <v>1339</v>
      </c>
      <c r="K1056" s="250"/>
    </row>
    <row r="1057" spans="1:11">
      <c r="A1057" s="19" t="s">
        <v>1223</v>
      </c>
      <c r="B1057" s="245" t="s">
        <v>1283</v>
      </c>
      <c r="C1057" s="18">
        <v>3</v>
      </c>
      <c r="D1057" s="246" t="s">
        <v>1286</v>
      </c>
      <c r="E1057" s="247">
        <v>0</v>
      </c>
      <c r="F1057" s="248" t="s">
        <v>825</v>
      </c>
      <c r="G1057" s="248">
        <v>4</v>
      </c>
      <c r="H1057" s="249">
        <v>9</v>
      </c>
      <c r="I1057" s="259" t="s">
        <v>1286</v>
      </c>
      <c r="J1057" s="260"/>
      <c r="K1057" s="250"/>
    </row>
    <row r="1058" spans="1:11">
      <c r="A1058" s="19" t="s">
        <v>1223</v>
      </c>
      <c r="B1058" s="245" t="s">
        <v>1283</v>
      </c>
      <c r="C1058" s="18">
        <v>4</v>
      </c>
      <c r="D1058" s="246" t="s">
        <v>1294</v>
      </c>
      <c r="E1058" s="247">
        <v>0</v>
      </c>
      <c r="F1058" s="248" t="s">
        <v>825</v>
      </c>
      <c r="G1058" s="248">
        <v>8</v>
      </c>
      <c r="H1058" s="249">
        <v>17</v>
      </c>
      <c r="I1058" s="259" t="s">
        <v>1294</v>
      </c>
      <c r="J1058" s="260"/>
      <c r="K1058" s="250"/>
    </row>
    <row r="1059" spans="1:11">
      <c r="A1059" s="19" t="s">
        <v>1223</v>
      </c>
      <c r="B1059" s="245" t="s">
        <v>1283</v>
      </c>
      <c r="C1059" s="18">
        <v>5</v>
      </c>
      <c r="D1059" s="246" t="s">
        <v>1304</v>
      </c>
      <c r="E1059" s="247">
        <v>0</v>
      </c>
      <c r="F1059" s="248" t="s">
        <v>825</v>
      </c>
      <c r="G1059" s="248">
        <v>7</v>
      </c>
      <c r="H1059" s="249">
        <v>24</v>
      </c>
      <c r="I1059" s="259" t="s">
        <v>1347</v>
      </c>
      <c r="J1059" s="260"/>
      <c r="K1059" s="250"/>
    </row>
    <row r="1060" spans="1:11">
      <c r="A1060" s="19" t="s">
        <v>1223</v>
      </c>
      <c r="B1060" s="245" t="s">
        <v>1283</v>
      </c>
      <c r="C1060" s="18">
        <v>6</v>
      </c>
      <c r="D1060" s="246" t="s">
        <v>1297</v>
      </c>
      <c r="E1060" s="247">
        <v>2</v>
      </c>
      <c r="F1060" s="248" t="s">
        <v>824</v>
      </c>
      <c r="G1060" s="248">
        <v>7</v>
      </c>
      <c r="H1060" s="249">
        <v>31</v>
      </c>
      <c r="I1060" s="259" t="s">
        <v>1297</v>
      </c>
      <c r="J1060" s="260"/>
      <c r="K1060" s="250"/>
    </row>
    <row r="1061" spans="1:11">
      <c r="A1061" s="19" t="s">
        <v>1223</v>
      </c>
      <c r="B1061" s="245" t="s">
        <v>1283</v>
      </c>
      <c r="C1061" s="18">
        <v>7</v>
      </c>
      <c r="D1061" s="246" t="s">
        <v>881</v>
      </c>
      <c r="E1061" s="247">
        <v>0</v>
      </c>
      <c r="F1061" s="248" t="s">
        <v>825</v>
      </c>
      <c r="G1061" s="248">
        <v>48</v>
      </c>
      <c r="H1061" s="249">
        <v>79</v>
      </c>
      <c r="I1061" s="259" t="s">
        <v>881</v>
      </c>
      <c r="J1061" s="260"/>
      <c r="K1061" s="250"/>
    </row>
    <row r="1062" spans="1:11">
      <c r="A1062" s="256" t="s">
        <v>1223</v>
      </c>
      <c r="B1062" s="245" t="s">
        <v>1283</v>
      </c>
      <c r="C1062" s="38">
        <v>8</v>
      </c>
      <c r="D1062" s="246" t="s">
        <v>634</v>
      </c>
      <c r="E1062" s="252">
        <v>0</v>
      </c>
      <c r="F1062" s="253" t="s">
        <v>825</v>
      </c>
      <c r="G1062" s="253">
        <v>1</v>
      </c>
      <c r="H1062" s="254">
        <v>80</v>
      </c>
      <c r="I1062" s="261" t="s">
        <v>1342</v>
      </c>
      <c r="J1062" s="261"/>
      <c r="K1062" s="255"/>
    </row>
    <row r="1063" spans="1:11">
      <c r="A1063" s="238" t="s">
        <v>1250</v>
      </c>
      <c r="B1063" s="239" t="s">
        <v>1284</v>
      </c>
      <c r="C1063" s="240">
        <v>1</v>
      </c>
      <c r="D1063" s="246" t="s">
        <v>389</v>
      </c>
      <c r="E1063" s="241">
        <v>0</v>
      </c>
      <c r="F1063" s="242" t="s">
        <v>825</v>
      </c>
      <c r="G1063" s="242">
        <v>2</v>
      </c>
      <c r="H1063" s="243">
        <v>2</v>
      </c>
      <c r="I1063" s="259" t="s">
        <v>1337</v>
      </c>
      <c r="J1063" s="259"/>
      <c r="K1063" s="244"/>
    </row>
    <row r="1064" spans="1:11">
      <c r="A1064" s="19" t="s">
        <v>1250</v>
      </c>
      <c r="B1064" s="245" t="s">
        <v>1284</v>
      </c>
      <c r="C1064" s="18">
        <v>2</v>
      </c>
      <c r="D1064" s="246" t="s">
        <v>706</v>
      </c>
      <c r="E1064" s="247">
        <v>0</v>
      </c>
      <c r="F1064" s="248" t="s">
        <v>825</v>
      </c>
      <c r="G1064" s="248">
        <v>3</v>
      </c>
      <c r="H1064" s="249">
        <v>5</v>
      </c>
      <c r="I1064" s="259" t="s">
        <v>1338</v>
      </c>
      <c r="J1064" s="260" t="s">
        <v>1339</v>
      </c>
      <c r="K1064" s="250"/>
    </row>
    <row r="1065" spans="1:11">
      <c r="A1065" s="19" t="s">
        <v>1250</v>
      </c>
      <c r="B1065" s="245" t="s">
        <v>1284</v>
      </c>
      <c r="C1065" s="18">
        <v>3</v>
      </c>
      <c r="D1065" s="246" t="s">
        <v>1286</v>
      </c>
      <c r="E1065" s="247">
        <v>0</v>
      </c>
      <c r="F1065" s="248" t="s">
        <v>825</v>
      </c>
      <c r="G1065" s="248">
        <v>4</v>
      </c>
      <c r="H1065" s="249">
        <v>9</v>
      </c>
      <c r="I1065" s="259" t="s">
        <v>1286</v>
      </c>
      <c r="J1065" s="260"/>
      <c r="K1065" s="250"/>
    </row>
    <row r="1066" spans="1:11">
      <c r="A1066" s="19" t="s">
        <v>1250</v>
      </c>
      <c r="B1066" s="245" t="s">
        <v>1284</v>
      </c>
      <c r="C1066" s="18">
        <v>4</v>
      </c>
      <c r="D1066" s="246" t="s">
        <v>423</v>
      </c>
      <c r="E1066" s="247">
        <v>0</v>
      </c>
      <c r="F1066" s="248" t="s">
        <v>825</v>
      </c>
      <c r="G1066" s="248">
        <v>8</v>
      </c>
      <c r="H1066" s="249">
        <v>17</v>
      </c>
      <c r="I1066" s="259" t="s">
        <v>423</v>
      </c>
      <c r="J1066" s="260"/>
      <c r="K1066" s="250"/>
    </row>
    <row r="1067" spans="1:11" ht="136.5">
      <c r="A1067" s="19" t="s">
        <v>1250</v>
      </c>
      <c r="B1067" s="245" t="s">
        <v>1284</v>
      </c>
      <c r="C1067" s="18">
        <v>5</v>
      </c>
      <c r="D1067" s="246" t="s">
        <v>1295</v>
      </c>
      <c r="E1067" s="247">
        <v>0</v>
      </c>
      <c r="F1067" s="248" t="s">
        <v>825</v>
      </c>
      <c r="G1067" s="248">
        <v>3</v>
      </c>
      <c r="H1067" s="249">
        <v>20</v>
      </c>
      <c r="I1067" s="259" t="s">
        <v>1340</v>
      </c>
      <c r="J1067" s="260"/>
      <c r="K1067" s="250"/>
    </row>
    <row r="1068" spans="1:11">
      <c r="A1068" s="19" t="s">
        <v>1250</v>
      </c>
      <c r="B1068" s="245" t="s">
        <v>1284</v>
      </c>
      <c r="C1068" s="18">
        <v>6</v>
      </c>
      <c r="D1068" s="246" t="s">
        <v>1305</v>
      </c>
      <c r="E1068" s="247">
        <v>5</v>
      </c>
      <c r="F1068" s="248" t="s">
        <v>824</v>
      </c>
      <c r="G1068" s="248">
        <v>8</v>
      </c>
      <c r="H1068" s="249">
        <v>28</v>
      </c>
      <c r="I1068" s="259" t="s">
        <v>1305</v>
      </c>
      <c r="J1068" s="260"/>
      <c r="K1068" s="250"/>
    </row>
    <row r="1069" spans="1:11">
      <c r="A1069" s="19" t="s">
        <v>1250</v>
      </c>
      <c r="B1069" s="245" t="s">
        <v>1284</v>
      </c>
      <c r="C1069" s="18">
        <v>7</v>
      </c>
      <c r="D1069" s="246" t="s">
        <v>1306</v>
      </c>
      <c r="E1069" s="247">
        <v>5</v>
      </c>
      <c r="F1069" s="248" t="s">
        <v>824</v>
      </c>
      <c r="G1069" s="248">
        <v>8</v>
      </c>
      <c r="H1069" s="249">
        <v>36</v>
      </c>
      <c r="I1069" s="259" t="s">
        <v>1306</v>
      </c>
      <c r="J1069" s="260"/>
      <c r="K1069" s="250"/>
    </row>
    <row r="1070" spans="1:11">
      <c r="A1070" s="19" t="s">
        <v>1250</v>
      </c>
      <c r="B1070" s="245" t="s">
        <v>1284</v>
      </c>
      <c r="C1070" s="18">
        <v>8</v>
      </c>
      <c r="D1070" s="246" t="s">
        <v>1307</v>
      </c>
      <c r="E1070" s="247">
        <v>5</v>
      </c>
      <c r="F1070" s="248" t="s">
        <v>824</v>
      </c>
      <c r="G1070" s="248">
        <v>8</v>
      </c>
      <c r="H1070" s="249">
        <v>44</v>
      </c>
      <c r="I1070" s="259" t="s">
        <v>1307</v>
      </c>
      <c r="J1070" s="260"/>
      <c r="K1070" s="250"/>
    </row>
    <row r="1071" spans="1:11">
      <c r="A1071" s="19" t="s">
        <v>1250</v>
      </c>
      <c r="B1071" s="245" t="s">
        <v>1284</v>
      </c>
      <c r="C1071" s="18">
        <v>9</v>
      </c>
      <c r="D1071" s="246" t="s">
        <v>1291</v>
      </c>
      <c r="E1071" s="247">
        <v>5</v>
      </c>
      <c r="F1071" s="248" t="s">
        <v>824</v>
      </c>
      <c r="G1071" s="248">
        <v>8</v>
      </c>
      <c r="H1071" s="249">
        <v>52</v>
      </c>
      <c r="I1071" s="259" t="s">
        <v>1291</v>
      </c>
      <c r="J1071" s="260"/>
      <c r="K1071" s="250"/>
    </row>
    <row r="1072" spans="1:11">
      <c r="A1072" s="19" t="s">
        <v>1250</v>
      </c>
      <c r="B1072" s="245" t="s">
        <v>1284</v>
      </c>
      <c r="C1072" s="18">
        <v>10</v>
      </c>
      <c r="D1072" s="246" t="s">
        <v>881</v>
      </c>
      <c r="E1072" s="247">
        <v>0</v>
      </c>
      <c r="F1072" s="248" t="s">
        <v>825</v>
      </c>
      <c r="G1072" s="248">
        <v>27</v>
      </c>
      <c r="H1072" s="249">
        <v>79</v>
      </c>
      <c r="I1072" s="259" t="s">
        <v>881</v>
      </c>
      <c r="J1072" s="260"/>
      <c r="K1072" s="250"/>
    </row>
    <row r="1073" spans="1:11">
      <c r="A1073" s="256" t="s">
        <v>1250</v>
      </c>
      <c r="B1073" s="245" t="s">
        <v>1284</v>
      </c>
      <c r="C1073" s="38">
        <v>11</v>
      </c>
      <c r="D1073" s="246" t="s">
        <v>634</v>
      </c>
      <c r="E1073" s="252">
        <v>0</v>
      </c>
      <c r="F1073" s="253" t="s">
        <v>825</v>
      </c>
      <c r="G1073" s="253">
        <v>1</v>
      </c>
      <c r="H1073" s="254">
        <v>80</v>
      </c>
      <c r="I1073" s="262" t="s">
        <v>1342</v>
      </c>
      <c r="J1073" s="261"/>
      <c r="K1073" s="255"/>
    </row>
    <row r="1074" spans="1:11">
      <c r="A1074" s="238" t="s">
        <v>1225</v>
      </c>
      <c r="B1074" s="239" t="s">
        <v>1285</v>
      </c>
      <c r="C1074" s="240">
        <v>1</v>
      </c>
      <c r="D1074" s="246" t="s">
        <v>389</v>
      </c>
      <c r="E1074" s="241">
        <v>0</v>
      </c>
      <c r="F1074" s="242" t="s">
        <v>825</v>
      </c>
      <c r="G1074" s="242">
        <v>2</v>
      </c>
      <c r="H1074" s="243">
        <v>2</v>
      </c>
      <c r="I1074" s="259" t="s">
        <v>1337</v>
      </c>
      <c r="J1074" s="260"/>
      <c r="K1074" s="244"/>
    </row>
    <row r="1075" spans="1:11">
      <c r="A1075" s="19" t="s">
        <v>1251</v>
      </c>
      <c r="B1075" s="245" t="s">
        <v>1285</v>
      </c>
      <c r="C1075" s="18">
        <v>2</v>
      </c>
      <c r="D1075" s="246" t="s">
        <v>706</v>
      </c>
      <c r="E1075" s="247">
        <v>0</v>
      </c>
      <c r="F1075" s="248" t="s">
        <v>825</v>
      </c>
      <c r="G1075" s="248">
        <v>3</v>
      </c>
      <c r="H1075" s="249">
        <v>5</v>
      </c>
      <c r="I1075" s="259" t="s">
        <v>1338</v>
      </c>
      <c r="J1075" s="260" t="s">
        <v>1339</v>
      </c>
      <c r="K1075" s="250"/>
    </row>
    <row r="1076" spans="1:11">
      <c r="A1076" s="19" t="s">
        <v>1251</v>
      </c>
      <c r="B1076" s="245" t="s">
        <v>1285</v>
      </c>
      <c r="C1076" s="18">
        <v>3</v>
      </c>
      <c r="D1076" s="246" t="s">
        <v>1286</v>
      </c>
      <c r="E1076" s="247">
        <v>0</v>
      </c>
      <c r="F1076" s="248" t="s">
        <v>825</v>
      </c>
      <c r="G1076" s="248">
        <v>4</v>
      </c>
      <c r="H1076" s="249">
        <v>9</v>
      </c>
      <c r="I1076" s="259" t="s">
        <v>1286</v>
      </c>
      <c r="J1076" s="260"/>
      <c r="K1076" s="250"/>
    </row>
    <row r="1077" spans="1:11">
      <c r="A1077" s="19" t="s">
        <v>1251</v>
      </c>
      <c r="B1077" s="245" t="s">
        <v>1285</v>
      </c>
      <c r="C1077" s="18">
        <v>4</v>
      </c>
      <c r="D1077" s="246" t="s">
        <v>423</v>
      </c>
      <c r="E1077" s="247">
        <v>0</v>
      </c>
      <c r="F1077" s="248" t="s">
        <v>825</v>
      </c>
      <c r="G1077" s="248">
        <v>8</v>
      </c>
      <c r="H1077" s="249">
        <v>17</v>
      </c>
      <c r="I1077" s="259" t="s">
        <v>423</v>
      </c>
      <c r="J1077" s="260"/>
      <c r="K1077" s="250"/>
    </row>
    <row r="1078" spans="1:11" ht="136.5">
      <c r="A1078" s="19" t="s">
        <v>1251</v>
      </c>
      <c r="B1078" s="245" t="s">
        <v>1285</v>
      </c>
      <c r="C1078" s="18">
        <v>5</v>
      </c>
      <c r="D1078" s="246" t="s">
        <v>1295</v>
      </c>
      <c r="E1078" s="247">
        <v>0</v>
      </c>
      <c r="F1078" s="248" t="s">
        <v>825</v>
      </c>
      <c r="G1078" s="248">
        <v>3</v>
      </c>
      <c r="H1078" s="249">
        <v>20</v>
      </c>
      <c r="I1078" s="259" t="s">
        <v>1340</v>
      </c>
      <c r="J1078" s="260"/>
      <c r="K1078" s="250"/>
    </row>
    <row r="1079" spans="1:11">
      <c r="A1079" s="19" t="s">
        <v>1251</v>
      </c>
      <c r="B1079" s="245" t="s">
        <v>1285</v>
      </c>
      <c r="C1079" s="18">
        <v>6</v>
      </c>
      <c r="D1079" s="246" t="s">
        <v>1292</v>
      </c>
      <c r="E1079" s="247">
        <v>4</v>
      </c>
      <c r="F1079" s="248" t="s">
        <v>824</v>
      </c>
      <c r="G1079" s="248">
        <v>7</v>
      </c>
      <c r="H1079" s="249">
        <v>27</v>
      </c>
      <c r="I1079" s="259" t="s">
        <v>1292</v>
      </c>
      <c r="J1079" s="260"/>
      <c r="K1079" s="250"/>
    </row>
    <row r="1080" spans="1:11">
      <c r="A1080" s="19" t="s">
        <v>1251</v>
      </c>
      <c r="B1080" s="245" t="s">
        <v>1285</v>
      </c>
      <c r="C1080" s="18">
        <v>7</v>
      </c>
      <c r="D1080" s="246" t="s">
        <v>1308</v>
      </c>
      <c r="E1080" s="247">
        <v>2</v>
      </c>
      <c r="F1080" s="248" t="s">
        <v>824</v>
      </c>
      <c r="G1080" s="248">
        <v>7</v>
      </c>
      <c r="H1080" s="249">
        <v>34</v>
      </c>
      <c r="I1080" s="259" t="s">
        <v>1308</v>
      </c>
      <c r="J1080" s="260"/>
      <c r="K1080" s="250"/>
    </row>
    <row r="1081" spans="1:11">
      <c r="A1081" s="19" t="s">
        <v>1251</v>
      </c>
      <c r="B1081" s="245" t="s">
        <v>1285</v>
      </c>
      <c r="C1081" s="18">
        <v>8</v>
      </c>
      <c r="D1081" s="246" t="s">
        <v>1309</v>
      </c>
      <c r="E1081" s="247">
        <v>2</v>
      </c>
      <c r="F1081" s="248" t="s">
        <v>824</v>
      </c>
      <c r="G1081" s="248">
        <v>7</v>
      </c>
      <c r="H1081" s="249">
        <v>41</v>
      </c>
      <c r="I1081" s="259" t="s">
        <v>1309</v>
      </c>
      <c r="J1081" s="260"/>
      <c r="K1081" s="250"/>
    </row>
    <row r="1082" spans="1:11">
      <c r="A1082" s="19" t="s">
        <v>1251</v>
      </c>
      <c r="B1082" s="245" t="s">
        <v>1285</v>
      </c>
      <c r="C1082" s="18">
        <v>9</v>
      </c>
      <c r="D1082" s="246" t="s">
        <v>1310</v>
      </c>
      <c r="E1082" s="247">
        <v>5</v>
      </c>
      <c r="F1082" s="248" t="s">
        <v>824</v>
      </c>
      <c r="G1082" s="248">
        <v>7</v>
      </c>
      <c r="H1082" s="249">
        <v>48</v>
      </c>
      <c r="I1082" s="259" t="s">
        <v>1310</v>
      </c>
      <c r="J1082" s="260"/>
      <c r="K1082" s="250"/>
    </row>
    <row r="1083" spans="1:11">
      <c r="A1083" s="19" t="s">
        <v>1251</v>
      </c>
      <c r="B1083" s="245" t="s">
        <v>1285</v>
      </c>
      <c r="C1083" s="18">
        <v>10</v>
      </c>
      <c r="D1083" s="246" t="s">
        <v>1311</v>
      </c>
      <c r="E1083" s="247">
        <v>5</v>
      </c>
      <c r="F1083" s="248" t="s">
        <v>824</v>
      </c>
      <c r="G1083" s="248">
        <v>7</v>
      </c>
      <c r="H1083" s="249">
        <v>55</v>
      </c>
      <c r="I1083" s="259" t="s">
        <v>1311</v>
      </c>
      <c r="J1083" s="260"/>
      <c r="K1083" s="250"/>
    </row>
    <row r="1084" spans="1:11">
      <c r="A1084" s="19" t="s">
        <v>1251</v>
      </c>
      <c r="B1084" s="245" t="s">
        <v>1285</v>
      </c>
      <c r="C1084" s="18">
        <v>11</v>
      </c>
      <c r="D1084" s="246" t="s">
        <v>881</v>
      </c>
      <c r="E1084" s="247">
        <v>0</v>
      </c>
      <c r="F1084" s="248" t="s">
        <v>1006</v>
      </c>
      <c r="G1084" s="248">
        <v>24</v>
      </c>
      <c r="H1084" s="249">
        <v>79</v>
      </c>
      <c r="I1084" s="259" t="s">
        <v>881</v>
      </c>
      <c r="J1084" s="260"/>
      <c r="K1084" s="250"/>
    </row>
    <row r="1085" spans="1:11">
      <c r="A1085" s="256" t="s">
        <v>1251</v>
      </c>
      <c r="B1085" s="245" t="s">
        <v>1285</v>
      </c>
      <c r="C1085" s="38">
        <v>12</v>
      </c>
      <c r="D1085" s="246" t="s">
        <v>634</v>
      </c>
      <c r="E1085" s="252">
        <v>0</v>
      </c>
      <c r="F1085" s="253" t="s">
        <v>825</v>
      </c>
      <c r="G1085" s="253">
        <v>1</v>
      </c>
      <c r="H1085" s="254">
        <v>80</v>
      </c>
      <c r="I1085" s="259" t="s">
        <v>1342</v>
      </c>
      <c r="J1085" s="260"/>
      <c r="K1085" s="255"/>
    </row>
    <row r="1086" spans="1:11">
      <c r="A1086" s="238" t="s">
        <v>1252</v>
      </c>
      <c r="B1086" s="239" t="s">
        <v>1312</v>
      </c>
      <c r="C1086" s="240">
        <v>1</v>
      </c>
      <c r="D1086" s="246" t="s">
        <v>389</v>
      </c>
      <c r="E1086" s="241">
        <v>0</v>
      </c>
      <c r="F1086" s="242" t="s">
        <v>825</v>
      </c>
      <c r="G1086" s="242">
        <v>2</v>
      </c>
      <c r="H1086" s="243">
        <v>2</v>
      </c>
      <c r="I1086" s="260" t="s">
        <v>1337</v>
      </c>
      <c r="J1086" s="260"/>
      <c r="K1086" s="244"/>
    </row>
    <row r="1087" spans="1:11">
      <c r="A1087" s="19" t="s">
        <v>1252</v>
      </c>
      <c r="B1087" s="245" t="s">
        <v>1312</v>
      </c>
      <c r="C1087" s="18">
        <v>2</v>
      </c>
      <c r="D1087" s="246" t="s">
        <v>706</v>
      </c>
      <c r="E1087" s="247">
        <v>0</v>
      </c>
      <c r="F1087" s="248" t="s">
        <v>825</v>
      </c>
      <c r="G1087" s="248">
        <v>3</v>
      </c>
      <c r="H1087" s="249">
        <v>5</v>
      </c>
      <c r="I1087" s="259" t="s">
        <v>1338</v>
      </c>
      <c r="J1087" s="260" t="s">
        <v>1339</v>
      </c>
      <c r="K1087" s="250"/>
    </row>
    <row r="1088" spans="1:11">
      <c r="A1088" s="19" t="s">
        <v>1252</v>
      </c>
      <c r="B1088" s="245" t="s">
        <v>1312</v>
      </c>
      <c r="C1088" s="18">
        <v>3</v>
      </c>
      <c r="D1088" s="246" t="s">
        <v>1286</v>
      </c>
      <c r="E1088" s="247">
        <v>0</v>
      </c>
      <c r="F1088" s="248" t="s">
        <v>825</v>
      </c>
      <c r="G1088" s="248">
        <v>4</v>
      </c>
      <c r="H1088" s="249">
        <v>9</v>
      </c>
      <c r="I1088" s="259" t="s">
        <v>1286</v>
      </c>
      <c r="J1088" s="260"/>
      <c r="K1088" s="250"/>
    </row>
    <row r="1089" spans="1:11">
      <c r="A1089" s="19" t="s">
        <v>1252</v>
      </c>
      <c r="B1089" s="245" t="s">
        <v>1312</v>
      </c>
      <c r="C1089" s="18">
        <v>4</v>
      </c>
      <c r="D1089" s="246" t="s">
        <v>423</v>
      </c>
      <c r="E1089" s="247">
        <v>0</v>
      </c>
      <c r="F1089" s="248" t="s">
        <v>825</v>
      </c>
      <c r="G1089" s="248">
        <v>8</v>
      </c>
      <c r="H1089" s="249">
        <v>17</v>
      </c>
      <c r="I1089" s="259" t="s">
        <v>423</v>
      </c>
      <c r="J1089" s="260"/>
      <c r="K1089" s="250"/>
    </row>
    <row r="1090" spans="1:11">
      <c r="A1090" s="19" t="s">
        <v>1252</v>
      </c>
      <c r="B1090" s="245" t="s">
        <v>1312</v>
      </c>
      <c r="C1090" s="18">
        <v>5</v>
      </c>
      <c r="D1090" s="246" t="s">
        <v>1287</v>
      </c>
      <c r="E1090" s="247">
        <v>0</v>
      </c>
      <c r="F1090" s="248" t="s">
        <v>825</v>
      </c>
      <c r="G1090" s="248">
        <v>9</v>
      </c>
      <c r="H1090" s="249">
        <v>26</v>
      </c>
      <c r="I1090" s="259" t="s">
        <v>1348</v>
      </c>
      <c r="J1090" s="260"/>
      <c r="K1090" s="250"/>
    </row>
    <row r="1091" spans="1:11">
      <c r="A1091" s="19" t="s">
        <v>1252</v>
      </c>
      <c r="B1091" s="245" t="s">
        <v>1312</v>
      </c>
      <c r="C1091" s="18">
        <v>6</v>
      </c>
      <c r="D1091" s="246" t="s">
        <v>1268</v>
      </c>
      <c r="E1091" s="247">
        <v>1</v>
      </c>
      <c r="F1091" s="248" t="s">
        <v>824</v>
      </c>
      <c r="G1091" s="248">
        <v>6</v>
      </c>
      <c r="H1091" s="249">
        <v>32</v>
      </c>
      <c r="I1091" s="259" t="s">
        <v>1268</v>
      </c>
      <c r="J1091" s="260"/>
      <c r="K1091" s="250"/>
    </row>
    <row r="1092" spans="1:11">
      <c r="A1092" s="19" t="s">
        <v>1252</v>
      </c>
      <c r="B1092" s="245" t="s">
        <v>1312</v>
      </c>
      <c r="C1092" s="18">
        <v>7</v>
      </c>
      <c r="D1092" s="246" t="s">
        <v>1269</v>
      </c>
      <c r="E1092" s="247">
        <v>1</v>
      </c>
      <c r="F1092" s="248" t="s">
        <v>824</v>
      </c>
      <c r="G1092" s="248">
        <v>6</v>
      </c>
      <c r="H1092" s="249">
        <v>38</v>
      </c>
      <c r="I1092" s="259" t="s">
        <v>1269</v>
      </c>
      <c r="J1092" s="260"/>
      <c r="K1092" s="250"/>
    </row>
    <row r="1093" spans="1:11">
      <c r="A1093" s="19" t="s">
        <v>1252</v>
      </c>
      <c r="B1093" s="245" t="s">
        <v>1312</v>
      </c>
      <c r="C1093" s="18">
        <v>8</v>
      </c>
      <c r="D1093" s="246" t="s">
        <v>881</v>
      </c>
      <c r="E1093" s="247">
        <v>0</v>
      </c>
      <c r="F1093" s="248" t="s">
        <v>825</v>
      </c>
      <c r="G1093" s="248">
        <v>41</v>
      </c>
      <c r="H1093" s="249">
        <v>79</v>
      </c>
      <c r="I1093" s="259" t="s">
        <v>881</v>
      </c>
      <c r="J1093" s="260"/>
      <c r="K1093" s="250"/>
    </row>
    <row r="1094" spans="1:11">
      <c r="A1094" s="256" t="s">
        <v>1252</v>
      </c>
      <c r="B1094" s="245" t="s">
        <v>1312</v>
      </c>
      <c r="C1094" s="38">
        <v>9</v>
      </c>
      <c r="D1094" s="246" t="s">
        <v>634</v>
      </c>
      <c r="E1094" s="252">
        <v>0</v>
      </c>
      <c r="F1094" s="253" t="s">
        <v>825</v>
      </c>
      <c r="G1094" s="253">
        <v>1</v>
      </c>
      <c r="H1094" s="254">
        <v>80</v>
      </c>
      <c r="I1094" s="262" t="s">
        <v>1342</v>
      </c>
      <c r="J1094" s="261"/>
      <c r="K1094" s="255"/>
    </row>
    <row r="1095" spans="1:11">
      <c r="A1095" s="238" t="s">
        <v>1229</v>
      </c>
      <c r="B1095" s="239" t="s">
        <v>1313</v>
      </c>
      <c r="C1095" s="240">
        <v>1</v>
      </c>
      <c r="D1095" s="246" t="s">
        <v>389</v>
      </c>
      <c r="E1095" s="241">
        <v>0</v>
      </c>
      <c r="F1095" s="242" t="s">
        <v>825</v>
      </c>
      <c r="G1095" s="242">
        <v>2</v>
      </c>
      <c r="H1095" s="243">
        <v>2</v>
      </c>
      <c r="I1095" s="263" t="s">
        <v>1337</v>
      </c>
      <c r="J1095" s="263"/>
      <c r="K1095" s="244"/>
    </row>
    <row r="1096" spans="1:11">
      <c r="A1096" s="19" t="s">
        <v>1229</v>
      </c>
      <c r="B1096" s="245" t="s">
        <v>1313</v>
      </c>
      <c r="C1096" s="18">
        <v>2</v>
      </c>
      <c r="D1096" s="246" t="s">
        <v>706</v>
      </c>
      <c r="E1096" s="247">
        <v>0</v>
      </c>
      <c r="F1096" s="248" t="s">
        <v>825</v>
      </c>
      <c r="G1096" s="248">
        <v>3</v>
      </c>
      <c r="H1096" s="249">
        <v>5</v>
      </c>
      <c r="I1096" s="259" t="s">
        <v>1338</v>
      </c>
      <c r="J1096" s="260" t="s">
        <v>1339</v>
      </c>
      <c r="K1096" s="250"/>
    </row>
    <row r="1097" spans="1:11">
      <c r="A1097" s="19" t="s">
        <v>1229</v>
      </c>
      <c r="B1097" s="245" t="s">
        <v>1313</v>
      </c>
      <c r="C1097" s="18">
        <v>3</v>
      </c>
      <c r="D1097" s="246" t="s">
        <v>1286</v>
      </c>
      <c r="E1097" s="247">
        <v>0</v>
      </c>
      <c r="F1097" s="248" t="s">
        <v>825</v>
      </c>
      <c r="G1097" s="248">
        <v>4</v>
      </c>
      <c r="H1097" s="249">
        <v>9</v>
      </c>
      <c r="I1097" s="259" t="s">
        <v>1286</v>
      </c>
      <c r="J1097" s="260"/>
      <c r="K1097" s="250"/>
    </row>
    <row r="1098" spans="1:11">
      <c r="A1098" s="19" t="s">
        <v>1229</v>
      </c>
      <c r="B1098" s="245" t="s">
        <v>1313</v>
      </c>
      <c r="C1098" s="18">
        <v>4</v>
      </c>
      <c r="D1098" s="246" t="s">
        <v>423</v>
      </c>
      <c r="E1098" s="247">
        <v>0</v>
      </c>
      <c r="F1098" s="248" t="s">
        <v>825</v>
      </c>
      <c r="G1098" s="248">
        <v>8</v>
      </c>
      <c r="H1098" s="249">
        <v>17</v>
      </c>
      <c r="I1098" s="259" t="s">
        <v>423</v>
      </c>
      <c r="J1098" s="260"/>
      <c r="K1098" s="250"/>
    </row>
    <row r="1099" spans="1:11" ht="147">
      <c r="A1099" s="19" t="s">
        <v>1229</v>
      </c>
      <c r="B1099" s="245" t="s">
        <v>1313</v>
      </c>
      <c r="C1099" s="18">
        <v>5</v>
      </c>
      <c r="D1099" s="246" t="s">
        <v>1289</v>
      </c>
      <c r="E1099" s="247">
        <v>0</v>
      </c>
      <c r="F1099" s="248" t="s">
        <v>825</v>
      </c>
      <c r="G1099" s="248">
        <v>2</v>
      </c>
      <c r="H1099" s="249">
        <v>19</v>
      </c>
      <c r="I1099" s="259" t="s">
        <v>1343</v>
      </c>
      <c r="J1099" s="260"/>
      <c r="K1099" s="250"/>
    </row>
    <row r="1100" spans="1:11">
      <c r="A1100" s="19" t="s">
        <v>1229</v>
      </c>
      <c r="B1100" s="245" t="s">
        <v>1313</v>
      </c>
      <c r="C1100" s="18">
        <v>6</v>
      </c>
      <c r="D1100" s="246" t="s">
        <v>1290</v>
      </c>
      <c r="E1100" s="247">
        <v>0</v>
      </c>
      <c r="F1100" s="248" t="s">
        <v>825</v>
      </c>
      <c r="G1100" s="248">
        <v>8</v>
      </c>
      <c r="H1100" s="249">
        <v>27</v>
      </c>
      <c r="I1100" s="259" t="s">
        <v>1290</v>
      </c>
      <c r="J1100" s="260"/>
      <c r="K1100" s="250"/>
    </row>
    <row r="1101" spans="1:11">
      <c r="A1101" s="19" t="s">
        <v>1229</v>
      </c>
      <c r="B1101" s="245" t="s">
        <v>1313</v>
      </c>
      <c r="C1101" s="18">
        <v>7</v>
      </c>
      <c r="D1101" s="246" t="s">
        <v>1324</v>
      </c>
      <c r="E1101" s="247">
        <v>1</v>
      </c>
      <c r="F1101" s="248" t="s">
        <v>824</v>
      </c>
      <c r="G1101" s="248">
        <v>6</v>
      </c>
      <c r="H1101" s="249">
        <v>33</v>
      </c>
      <c r="I1101" s="259" t="s">
        <v>1324</v>
      </c>
      <c r="J1101" s="260"/>
      <c r="K1101" s="250"/>
    </row>
    <row r="1102" spans="1:11">
      <c r="A1102" s="19" t="s">
        <v>1229</v>
      </c>
      <c r="B1102" s="245" t="s">
        <v>1313</v>
      </c>
      <c r="C1102" s="18">
        <v>8</v>
      </c>
      <c r="D1102" s="246" t="s">
        <v>1325</v>
      </c>
      <c r="E1102" s="247">
        <v>1</v>
      </c>
      <c r="F1102" s="248" t="s">
        <v>824</v>
      </c>
      <c r="G1102" s="248">
        <v>6</v>
      </c>
      <c r="H1102" s="249">
        <v>39</v>
      </c>
      <c r="I1102" s="259" t="s">
        <v>1325</v>
      </c>
      <c r="J1102" s="260"/>
      <c r="K1102" s="250"/>
    </row>
    <row r="1103" spans="1:11">
      <c r="A1103" s="19" t="s">
        <v>1229</v>
      </c>
      <c r="B1103" s="245" t="s">
        <v>1313</v>
      </c>
      <c r="C1103" s="18">
        <v>9</v>
      </c>
      <c r="D1103" s="246" t="s">
        <v>1326</v>
      </c>
      <c r="E1103" s="247">
        <v>1</v>
      </c>
      <c r="F1103" s="248" t="s">
        <v>824</v>
      </c>
      <c r="G1103" s="248">
        <v>6</v>
      </c>
      <c r="H1103" s="249">
        <v>45</v>
      </c>
      <c r="I1103" s="259" t="s">
        <v>1326</v>
      </c>
      <c r="J1103" s="260"/>
      <c r="K1103" s="250"/>
    </row>
    <row r="1104" spans="1:11">
      <c r="A1104" s="19" t="s">
        <v>1229</v>
      </c>
      <c r="B1104" s="245" t="s">
        <v>1313</v>
      </c>
      <c r="C1104" s="18">
        <v>10</v>
      </c>
      <c r="D1104" s="246" t="s">
        <v>1327</v>
      </c>
      <c r="E1104" s="247">
        <v>1</v>
      </c>
      <c r="F1104" s="248" t="s">
        <v>824</v>
      </c>
      <c r="G1104" s="248">
        <v>6</v>
      </c>
      <c r="H1104" s="249">
        <v>51</v>
      </c>
      <c r="I1104" s="259" t="s">
        <v>1327</v>
      </c>
      <c r="J1104" s="260"/>
      <c r="K1104" s="250"/>
    </row>
    <row r="1105" spans="1:11">
      <c r="A1105" s="19" t="s">
        <v>1229</v>
      </c>
      <c r="B1105" s="245" t="s">
        <v>1313</v>
      </c>
      <c r="C1105" s="18">
        <v>11</v>
      </c>
      <c r="D1105" s="246" t="s">
        <v>1328</v>
      </c>
      <c r="E1105" s="247">
        <v>1</v>
      </c>
      <c r="F1105" s="248" t="s">
        <v>824</v>
      </c>
      <c r="G1105" s="248">
        <v>6</v>
      </c>
      <c r="H1105" s="249">
        <v>57</v>
      </c>
      <c r="I1105" s="259" t="s">
        <v>1328</v>
      </c>
      <c r="J1105" s="260"/>
      <c r="K1105" s="250"/>
    </row>
    <row r="1106" spans="1:11">
      <c r="A1106" s="19" t="s">
        <v>1229</v>
      </c>
      <c r="B1106" s="245" t="s">
        <v>1313</v>
      </c>
      <c r="C1106" s="18">
        <v>12</v>
      </c>
      <c r="D1106" s="246" t="s">
        <v>881</v>
      </c>
      <c r="E1106" s="247">
        <v>0</v>
      </c>
      <c r="F1106" s="248" t="s">
        <v>825</v>
      </c>
      <c r="G1106" s="248">
        <v>22</v>
      </c>
      <c r="H1106" s="249">
        <v>79</v>
      </c>
      <c r="I1106" s="259" t="s">
        <v>881</v>
      </c>
      <c r="J1106" s="260"/>
      <c r="K1106" s="250"/>
    </row>
    <row r="1107" spans="1:11">
      <c r="A1107" s="256" t="s">
        <v>1229</v>
      </c>
      <c r="B1107" s="245" t="s">
        <v>1313</v>
      </c>
      <c r="C1107" s="38">
        <v>13</v>
      </c>
      <c r="D1107" s="246" t="s">
        <v>634</v>
      </c>
      <c r="E1107" s="252">
        <v>0</v>
      </c>
      <c r="F1107" s="253" t="s">
        <v>825</v>
      </c>
      <c r="G1107" s="253">
        <v>1</v>
      </c>
      <c r="H1107" s="254">
        <v>80</v>
      </c>
      <c r="I1107" s="262" t="s">
        <v>1342</v>
      </c>
      <c r="J1107" s="261"/>
      <c r="K1107" s="255"/>
    </row>
    <row r="1108" spans="1:11">
      <c r="A1108" s="238" t="s">
        <v>1253</v>
      </c>
      <c r="B1108" s="239" t="s">
        <v>1314</v>
      </c>
      <c r="C1108" s="240">
        <v>1</v>
      </c>
      <c r="D1108" s="246" t="s">
        <v>389</v>
      </c>
      <c r="E1108" s="241">
        <v>0</v>
      </c>
      <c r="F1108" s="242" t="s">
        <v>825</v>
      </c>
      <c r="G1108" s="242">
        <v>2</v>
      </c>
      <c r="H1108" s="243">
        <v>2</v>
      </c>
      <c r="I1108" s="263" t="s">
        <v>1337</v>
      </c>
      <c r="J1108" s="263"/>
      <c r="K1108" s="244"/>
    </row>
    <row r="1109" spans="1:11">
      <c r="A1109" s="19" t="s">
        <v>1253</v>
      </c>
      <c r="B1109" s="245" t="s">
        <v>1314</v>
      </c>
      <c r="C1109" s="18">
        <v>2</v>
      </c>
      <c r="D1109" s="246" t="s">
        <v>706</v>
      </c>
      <c r="E1109" s="247">
        <v>0</v>
      </c>
      <c r="F1109" s="248" t="s">
        <v>825</v>
      </c>
      <c r="G1109" s="248">
        <v>3</v>
      </c>
      <c r="H1109" s="249">
        <v>5</v>
      </c>
      <c r="I1109" s="259" t="s">
        <v>1338</v>
      </c>
      <c r="J1109" s="260" t="s">
        <v>1339</v>
      </c>
      <c r="K1109" s="250"/>
    </row>
    <row r="1110" spans="1:11">
      <c r="A1110" s="19" t="s">
        <v>1253</v>
      </c>
      <c r="B1110" s="245" t="s">
        <v>1314</v>
      </c>
      <c r="C1110" s="18">
        <v>3</v>
      </c>
      <c r="D1110" s="246" t="s">
        <v>1286</v>
      </c>
      <c r="E1110" s="247">
        <v>0</v>
      </c>
      <c r="F1110" s="248" t="s">
        <v>825</v>
      </c>
      <c r="G1110" s="248">
        <v>4</v>
      </c>
      <c r="H1110" s="249">
        <v>9</v>
      </c>
      <c r="I1110" s="259" t="s">
        <v>1286</v>
      </c>
      <c r="J1110" s="260"/>
      <c r="K1110" s="250"/>
    </row>
    <row r="1111" spans="1:11">
      <c r="A1111" s="19" t="s">
        <v>1253</v>
      </c>
      <c r="B1111" s="245" t="s">
        <v>1314</v>
      </c>
      <c r="C1111" s="18">
        <v>4</v>
      </c>
      <c r="D1111" s="246" t="s">
        <v>423</v>
      </c>
      <c r="E1111" s="247">
        <v>0</v>
      </c>
      <c r="F1111" s="248" t="s">
        <v>825</v>
      </c>
      <c r="G1111" s="248">
        <v>8</v>
      </c>
      <c r="H1111" s="249">
        <v>17</v>
      </c>
      <c r="I1111" s="259" t="s">
        <v>423</v>
      </c>
      <c r="J1111" s="260"/>
      <c r="K1111" s="250"/>
    </row>
    <row r="1112" spans="1:11" ht="147">
      <c r="A1112" s="19" t="s">
        <v>1253</v>
      </c>
      <c r="B1112" s="245" t="s">
        <v>1314</v>
      </c>
      <c r="C1112" s="18">
        <v>5</v>
      </c>
      <c r="D1112" s="246" t="s">
        <v>1289</v>
      </c>
      <c r="E1112" s="247">
        <v>0</v>
      </c>
      <c r="F1112" s="248" t="s">
        <v>825</v>
      </c>
      <c r="G1112" s="248">
        <v>2</v>
      </c>
      <c r="H1112" s="249">
        <v>19</v>
      </c>
      <c r="I1112" s="259" t="s">
        <v>1343</v>
      </c>
      <c r="J1112" s="260"/>
      <c r="K1112" s="250"/>
    </row>
    <row r="1113" spans="1:11">
      <c r="A1113" s="19" t="s">
        <v>1253</v>
      </c>
      <c r="B1113" s="245" t="s">
        <v>1314</v>
      </c>
      <c r="C1113" s="18">
        <v>6</v>
      </c>
      <c r="D1113" s="246" t="s">
        <v>1290</v>
      </c>
      <c r="E1113" s="247">
        <v>0</v>
      </c>
      <c r="F1113" s="248" t="s">
        <v>825</v>
      </c>
      <c r="G1113" s="248">
        <v>8</v>
      </c>
      <c r="H1113" s="249">
        <v>27</v>
      </c>
      <c r="I1113" s="259" t="s">
        <v>1290</v>
      </c>
      <c r="J1113" s="260"/>
      <c r="K1113" s="250"/>
    </row>
    <row r="1114" spans="1:11">
      <c r="A1114" s="19" t="s">
        <v>1253</v>
      </c>
      <c r="B1114" s="245" t="s">
        <v>1314</v>
      </c>
      <c r="C1114" s="18">
        <v>7</v>
      </c>
      <c r="D1114" s="246" t="s">
        <v>1268</v>
      </c>
      <c r="E1114" s="247">
        <v>1</v>
      </c>
      <c r="F1114" s="248" t="s">
        <v>824</v>
      </c>
      <c r="G1114" s="248">
        <v>6</v>
      </c>
      <c r="H1114" s="249">
        <v>33</v>
      </c>
      <c r="I1114" s="259" t="s">
        <v>1268</v>
      </c>
      <c r="J1114" s="260"/>
      <c r="K1114" s="250"/>
    </row>
    <row r="1115" spans="1:11">
      <c r="A1115" s="19" t="s">
        <v>1253</v>
      </c>
      <c r="B1115" s="245" t="s">
        <v>1314</v>
      </c>
      <c r="C1115" s="18">
        <v>8</v>
      </c>
      <c r="D1115" s="246" t="s">
        <v>1269</v>
      </c>
      <c r="E1115" s="247">
        <v>1</v>
      </c>
      <c r="F1115" s="248" t="s">
        <v>824</v>
      </c>
      <c r="G1115" s="248">
        <v>6</v>
      </c>
      <c r="H1115" s="249">
        <v>39</v>
      </c>
      <c r="I1115" s="259" t="s">
        <v>1269</v>
      </c>
      <c r="J1115" s="260"/>
      <c r="K1115" s="250"/>
    </row>
    <row r="1116" spans="1:11">
      <c r="A1116" s="19" t="s">
        <v>1253</v>
      </c>
      <c r="B1116" s="245" t="s">
        <v>1314</v>
      </c>
      <c r="C1116" s="18">
        <v>9</v>
      </c>
      <c r="D1116" s="246" t="s">
        <v>1267</v>
      </c>
      <c r="E1116" s="247">
        <v>1</v>
      </c>
      <c r="F1116" s="248" t="s">
        <v>824</v>
      </c>
      <c r="G1116" s="248">
        <v>6</v>
      </c>
      <c r="H1116" s="249">
        <v>45</v>
      </c>
      <c r="I1116" s="259" t="s">
        <v>1267</v>
      </c>
      <c r="J1116" s="260"/>
      <c r="K1116" s="250"/>
    </row>
    <row r="1117" spans="1:11">
      <c r="A1117" s="19" t="s">
        <v>1253</v>
      </c>
      <c r="B1117" s="245" t="s">
        <v>1314</v>
      </c>
      <c r="C1117" s="18">
        <v>10</v>
      </c>
      <c r="D1117" s="246" t="s">
        <v>1291</v>
      </c>
      <c r="E1117" s="247">
        <v>1</v>
      </c>
      <c r="F1117" s="248" t="s">
        <v>824</v>
      </c>
      <c r="G1117" s="248">
        <v>6</v>
      </c>
      <c r="H1117" s="249">
        <v>51</v>
      </c>
      <c r="I1117" s="259" t="s">
        <v>1291</v>
      </c>
      <c r="J1117" s="260"/>
      <c r="K1117" s="250"/>
    </row>
    <row r="1118" spans="1:11">
      <c r="A1118" s="19" t="s">
        <v>1253</v>
      </c>
      <c r="B1118" s="245" t="s">
        <v>1314</v>
      </c>
      <c r="C1118" s="18">
        <v>11</v>
      </c>
      <c r="D1118" s="246" t="s">
        <v>881</v>
      </c>
      <c r="E1118" s="247">
        <v>0</v>
      </c>
      <c r="F1118" s="248" t="s">
        <v>825</v>
      </c>
      <c r="G1118" s="248">
        <v>28</v>
      </c>
      <c r="H1118" s="249">
        <v>79</v>
      </c>
      <c r="I1118" s="259" t="s">
        <v>881</v>
      </c>
      <c r="J1118" s="260"/>
      <c r="K1118" s="250"/>
    </row>
    <row r="1119" spans="1:11">
      <c r="A1119" s="256" t="s">
        <v>1253</v>
      </c>
      <c r="B1119" s="245" t="s">
        <v>1314</v>
      </c>
      <c r="C1119" s="38">
        <v>12</v>
      </c>
      <c r="D1119" s="246" t="s">
        <v>634</v>
      </c>
      <c r="E1119" s="252">
        <v>0</v>
      </c>
      <c r="F1119" s="253" t="s">
        <v>825</v>
      </c>
      <c r="G1119" s="253">
        <v>1</v>
      </c>
      <c r="H1119" s="254">
        <v>80</v>
      </c>
      <c r="I1119" s="262" t="s">
        <v>1342</v>
      </c>
      <c r="J1119" s="261"/>
      <c r="K1119" s="255"/>
    </row>
    <row r="1120" spans="1:11">
      <c r="A1120" s="238" t="s">
        <v>1254</v>
      </c>
      <c r="B1120" s="239" t="s">
        <v>1315</v>
      </c>
      <c r="C1120" s="240">
        <v>1</v>
      </c>
      <c r="D1120" s="246" t="s">
        <v>389</v>
      </c>
      <c r="E1120" s="241">
        <v>0</v>
      </c>
      <c r="F1120" s="242" t="s">
        <v>825</v>
      </c>
      <c r="G1120" s="242">
        <v>2</v>
      </c>
      <c r="H1120" s="243">
        <v>2</v>
      </c>
      <c r="I1120" s="263" t="s">
        <v>1337</v>
      </c>
      <c r="J1120" s="263"/>
      <c r="K1120" s="244"/>
    </row>
    <row r="1121" spans="1:11">
      <c r="A1121" s="19" t="s">
        <v>1254</v>
      </c>
      <c r="B1121" s="245" t="s">
        <v>1315</v>
      </c>
      <c r="C1121" s="18">
        <v>2</v>
      </c>
      <c r="D1121" s="246" t="s">
        <v>706</v>
      </c>
      <c r="E1121" s="247">
        <v>0</v>
      </c>
      <c r="F1121" s="248" t="s">
        <v>825</v>
      </c>
      <c r="G1121" s="248">
        <v>3</v>
      </c>
      <c r="H1121" s="249">
        <v>5</v>
      </c>
      <c r="I1121" s="259" t="s">
        <v>1338</v>
      </c>
      <c r="J1121" s="260" t="s">
        <v>1339</v>
      </c>
      <c r="K1121" s="250"/>
    </row>
    <row r="1122" spans="1:11">
      <c r="A1122" s="19" t="s">
        <v>1254</v>
      </c>
      <c r="B1122" s="245" t="s">
        <v>1315</v>
      </c>
      <c r="C1122" s="18">
        <v>3</v>
      </c>
      <c r="D1122" s="246" t="s">
        <v>1286</v>
      </c>
      <c r="E1122" s="247">
        <v>0</v>
      </c>
      <c r="F1122" s="248" t="s">
        <v>825</v>
      </c>
      <c r="G1122" s="248">
        <v>4</v>
      </c>
      <c r="H1122" s="249">
        <v>9</v>
      </c>
      <c r="I1122" s="259" t="s">
        <v>1286</v>
      </c>
      <c r="J1122" s="260"/>
      <c r="K1122" s="250"/>
    </row>
    <row r="1123" spans="1:11">
      <c r="A1123" s="19" t="s">
        <v>1254</v>
      </c>
      <c r="B1123" s="245" t="s">
        <v>1315</v>
      </c>
      <c r="C1123" s="18">
        <v>4</v>
      </c>
      <c r="D1123" s="246" t="s">
        <v>423</v>
      </c>
      <c r="E1123" s="247">
        <v>0</v>
      </c>
      <c r="F1123" s="248" t="s">
        <v>825</v>
      </c>
      <c r="G1123" s="248">
        <v>8</v>
      </c>
      <c r="H1123" s="249">
        <v>17</v>
      </c>
      <c r="I1123" s="259" t="s">
        <v>423</v>
      </c>
      <c r="J1123" s="260"/>
      <c r="K1123" s="250"/>
    </row>
    <row r="1124" spans="1:11" ht="147">
      <c r="A1124" s="19" t="s">
        <v>1254</v>
      </c>
      <c r="B1124" s="245" t="s">
        <v>1315</v>
      </c>
      <c r="C1124" s="18">
        <v>5</v>
      </c>
      <c r="D1124" s="246" t="s">
        <v>1289</v>
      </c>
      <c r="E1124" s="247">
        <v>0</v>
      </c>
      <c r="F1124" s="248" t="s">
        <v>825</v>
      </c>
      <c r="G1124" s="248">
        <v>2</v>
      </c>
      <c r="H1124" s="249">
        <v>19</v>
      </c>
      <c r="I1124" s="259" t="s">
        <v>1343</v>
      </c>
      <c r="J1124" s="260"/>
      <c r="K1124" s="250"/>
    </row>
    <row r="1125" spans="1:11">
      <c r="A1125" s="19" t="s">
        <v>1254</v>
      </c>
      <c r="B1125" s="245" t="s">
        <v>1315</v>
      </c>
      <c r="C1125" s="18">
        <v>6</v>
      </c>
      <c r="D1125" s="246" t="s">
        <v>1290</v>
      </c>
      <c r="E1125" s="247">
        <v>0</v>
      </c>
      <c r="F1125" s="248" t="s">
        <v>825</v>
      </c>
      <c r="G1125" s="248">
        <v>8</v>
      </c>
      <c r="H1125" s="249">
        <v>27</v>
      </c>
      <c r="I1125" s="259" t="s">
        <v>1290</v>
      </c>
      <c r="J1125" s="260"/>
      <c r="K1125" s="250"/>
    </row>
    <row r="1126" spans="1:11">
      <c r="A1126" s="19" t="s">
        <v>1254</v>
      </c>
      <c r="B1126" s="245" t="s">
        <v>1315</v>
      </c>
      <c r="C1126" s="18">
        <v>7</v>
      </c>
      <c r="D1126" s="246" t="s">
        <v>1329</v>
      </c>
      <c r="E1126" s="247">
        <v>0</v>
      </c>
      <c r="F1126" s="248" t="s">
        <v>1249</v>
      </c>
      <c r="G1126" s="248">
        <v>5</v>
      </c>
      <c r="H1126" s="249">
        <v>32</v>
      </c>
      <c r="I1126" s="259" t="s">
        <v>1329</v>
      </c>
      <c r="J1126" s="260"/>
      <c r="K1126" s="250"/>
    </row>
    <row r="1127" spans="1:11">
      <c r="A1127" s="19" t="s">
        <v>1254</v>
      </c>
      <c r="B1127" s="245" t="s">
        <v>1315</v>
      </c>
      <c r="C1127" s="18">
        <v>8</v>
      </c>
      <c r="D1127" s="246" t="s">
        <v>1330</v>
      </c>
      <c r="E1127" s="247">
        <v>0</v>
      </c>
      <c r="F1127" s="248" t="s">
        <v>1249</v>
      </c>
      <c r="G1127" s="248">
        <v>5</v>
      </c>
      <c r="H1127" s="249">
        <v>37</v>
      </c>
      <c r="I1127" s="259" t="s">
        <v>1330</v>
      </c>
      <c r="J1127" s="260"/>
      <c r="K1127" s="250"/>
    </row>
    <row r="1128" spans="1:11">
      <c r="A1128" s="19" t="s">
        <v>1254</v>
      </c>
      <c r="B1128" s="245" t="s">
        <v>1315</v>
      </c>
      <c r="C1128" s="18">
        <v>9</v>
      </c>
      <c r="D1128" s="246" t="s">
        <v>1331</v>
      </c>
      <c r="E1128" s="247">
        <v>1</v>
      </c>
      <c r="F1128" s="248" t="s">
        <v>824</v>
      </c>
      <c r="G1128" s="248">
        <v>6</v>
      </c>
      <c r="H1128" s="249">
        <v>43</v>
      </c>
      <c r="I1128" s="259" t="s">
        <v>1331</v>
      </c>
      <c r="J1128" s="260"/>
      <c r="K1128" s="250"/>
    </row>
    <row r="1129" spans="1:11">
      <c r="A1129" s="19" t="s">
        <v>1254</v>
      </c>
      <c r="B1129" s="245" t="s">
        <v>1315</v>
      </c>
      <c r="C1129" s="18">
        <v>10</v>
      </c>
      <c r="D1129" s="246" t="s">
        <v>1332</v>
      </c>
      <c r="E1129" s="247">
        <v>1</v>
      </c>
      <c r="F1129" s="248" t="s">
        <v>824</v>
      </c>
      <c r="G1129" s="248">
        <v>6</v>
      </c>
      <c r="H1129" s="249">
        <v>49</v>
      </c>
      <c r="I1129" s="259" t="s">
        <v>1332</v>
      </c>
      <c r="J1129" s="260"/>
      <c r="K1129" s="250"/>
    </row>
    <row r="1130" spans="1:11">
      <c r="A1130" s="19" t="s">
        <v>1254</v>
      </c>
      <c r="B1130" s="245" t="s">
        <v>1315</v>
      </c>
      <c r="C1130" s="18">
        <v>11</v>
      </c>
      <c r="D1130" s="246" t="s">
        <v>1333</v>
      </c>
      <c r="E1130" s="247">
        <v>0</v>
      </c>
      <c r="F1130" s="248" t="s">
        <v>1249</v>
      </c>
      <c r="G1130" s="248">
        <v>5</v>
      </c>
      <c r="H1130" s="249">
        <v>54</v>
      </c>
      <c r="I1130" s="259" t="s">
        <v>1333</v>
      </c>
      <c r="J1130" s="260"/>
      <c r="K1130" s="250"/>
    </row>
    <row r="1131" spans="1:11">
      <c r="A1131" s="19" t="s">
        <v>1254</v>
      </c>
      <c r="B1131" s="245" t="s">
        <v>1315</v>
      </c>
      <c r="C1131" s="18">
        <v>12</v>
      </c>
      <c r="D1131" s="246" t="s">
        <v>881</v>
      </c>
      <c r="E1131" s="247">
        <v>0</v>
      </c>
      <c r="F1131" s="248" t="s">
        <v>825</v>
      </c>
      <c r="G1131" s="248">
        <v>25</v>
      </c>
      <c r="H1131" s="249">
        <v>79</v>
      </c>
      <c r="I1131" s="259" t="s">
        <v>881</v>
      </c>
      <c r="J1131" s="260"/>
      <c r="K1131" s="250"/>
    </row>
    <row r="1132" spans="1:11">
      <c r="A1132" s="19" t="s">
        <v>1254</v>
      </c>
      <c r="B1132" s="245" t="s">
        <v>1315</v>
      </c>
      <c r="C1132" s="38">
        <v>13</v>
      </c>
      <c r="D1132" s="246" t="s">
        <v>634</v>
      </c>
      <c r="E1132" s="252">
        <v>0</v>
      </c>
      <c r="F1132" s="253" t="s">
        <v>825</v>
      </c>
      <c r="G1132" s="253">
        <v>1</v>
      </c>
      <c r="H1132" s="254">
        <v>80</v>
      </c>
      <c r="I1132" s="262" t="s">
        <v>1342</v>
      </c>
      <c r="J1132" s="261"/>
      <c r="K1132" s="255"/>
    </row>
    <row r="1133" spans="1:11">
      <c r="A1133" s="19" t="s">
        <v>1256</v>
      </c>
      <c r="B1133" s="239" t="s">
        <v>1317</v>
      </c>
      <c r="C1133" s="240">
        <v>1</v>
      </c>
      <c r="D1133" s="246" t="s">
        <v>389</v>
      </c>
      <c r="E1133" s="241">
        <v>0</v>
      </c>
      <c r="F1133" s="242" t="s">
        <v>825</v>
      </c>
      <c r="G1133" s="242">
        <v>2</v>
      </c>
      <c r="H1133" s="243">
        <v>2</v>
      </c>
      <c r="I1133" s="263" t="s">
        <v>1337</v>
      </c>
      <c r="J1133" s="263"/>
      <c r="K1133" s="244"/>
    </row>
    <row r="1134" spans="1:11">
      <c r="A1134" s="19" t="s">
        <v>1256</v>
      </c>
      <c r="B1134" s="245" t="s">
        <v>1317</v>
      </c>
      <c r="C1134" s="18">
        <v>2</v>
      </c>
      <c r="D1134" s="246" t="s">
        <v>706</v>
      </c>
      <c r="E1134" s="247">
        <v>0</v>
      </c>
      <c r="F1134" s="248" t="s">
        <v>825</v>
      </c>
      <c r="G1134" s="248">
        <v>3</v>
      </c>
      <c r="H1134" s="249">
        <v>5</v>
      </c>
      <c r="I1134" s="259" t="s">
        <v>1338</v>
      </c>
      <c r="J1134" s="260" t="s">
        <v>1339</v>
      </c>
      <c r="K1134" s="250"/>
    </row>
    <row r="1135" spans="1:11">
      <c r="A1135" s="19" t="s">
        <v>1256</v>
      </c>
      <c r="B1135" s="245" t="s">
        <v>1317</v>
      </c>
      <c r="C1135" s="18">
        <v>3</v>
      </c>
      <c r="D1135" s="246" t="s">
        <v>1286</v>
      </c>
      <c r="E1135" s="247">
        <v>0</v>
      </c>
      <c r="F1135" s="248" t="s">
        <v>825</v>
      </c>
      <c r="G1135" s="248">
        <v>4</v>
      </c>
      <c r="H1135" s="249">
        <v>9</v>
      </c>
      <c r="I1135" s="259" t="s">
        <v>1286</v>
      </c>
      <c r="J1135" s="260"/>
      <c r="K1135" s="250"/>
    </row>
    <row r="1136" spans="1:11">
      <c r="A1136" s="19" t="s">
        <v>1256</v>
      </c>
      <c r="B1136" s="245" t="s">
        <v>1317</v>
      </c>
      <c r="C1136" s="18">
        <v>4</v>
      </c>
      <c r="D1136" s="246" t="s">
        <v>423</v>
      </c>
      <c r="E1136" s="247">
        <v>0</v>
      </c>
      <c r="F1136" s="248" t="s">
        <v>825</v>
      </c>
      <c r="G1136" s="248">
        <v>8</v>
      </c>
      <c r="H1136" s="249">
        <v>17</v>
      </c>
      <c r="I1136" s="259" t="s">
        <v>423</v>
      </c>
      <c r="J1136" s="260"/>
      <c r="K1136" s="250"/>
    </row>
    <row r="1137" spans="1:11" ht="147">
      <c r="A1137" s="19" t="s">
        <v>1256</v>
      </c>
      <c r="B1137" s="245" t="s">
        <v>1317</v>
      </c>
      <c r="C1137" s="18">
        <v>5</v>
      </c>
      <c r="D1137" s="246" t="s">
        <v>1289</v>
      </c>
      <c r="E1137" s="247">
        <v>0</v>
      </c>
      <c r="F1137" s="248" t="s">
        <v>825</v>
      </c>
      <c r="G1137" s="248">
        <v>2</v>
      </c>
      <c r="H1137" s="249">
        <v>19</v>
      </c>
      <c r="I1137" s="259" t="s">
        <v>1343</v>
      </c>
      <c r="J1137" s="260"/>
      <c r="K1137" s="250"/>
    </row>
    <row r="1138" spans="1:11">
      <c r="A1138" s="19" t="s">
        <v>1256</v>
      </c>
      <c r="B1138" s="245" t="s">
        <v>1317</v>
      </c>
      <c r="C1138" s="18">
        <v>6</v>
      </c>
      <c r="D1138" s="246" t="s">
        <v>1290</v>
      </c>
      <c r="E1138" s="247">
        <v>0</v>
      </c>
      <c r="F1138" s="248" t="s">
        <v>825</v>
      </c>
      <c r="G1138" s="248">
        <v>8</v>
      </c>
      <c r="H1138" s="249">
        <v>27</v>
      </c>
      <c r="I1138" s="259" t="s">
        <v>1290</v>
      </c>
      <c r="J1138" s="260"/>
      <c r="K1138" s="250"/>
    </row>
    <row r="1139" spans="1:11">
      <c r="A1139" s="19" t="s">
        <v>1256</v>
      </c>
      <c r="B1139" s="245" t="s">
        <v>1317</v>
      </c>
      <c r="C1139" s="18">
        <v>7</v>
      </c>
      <c r="D1139" s="246" t="s">
        <v>1298</v>
      </c>
      <c r="E1139" s="247">
        <v>0</v>
      </c>
      <c r="F1139" s="248" t="s">
        <v>1249</v>
      </c>
      <c r="G1139" s="248">
        <v>5</v>
      </c>
      <c r="H1139" s="249">
        <v>32</v>
      </c>
      <c r="I1139" s="259" t="s">
        <v>1298</v>
      </c>
      <c r="J1139" s="260"/>
      <c r="K1139" s="250"/>
    </row>
    <row r="1140" spans="1:11">
      <c r="A1140" s="19" t="s">
        <v>1256</v>
      </c>
      <c r="B1140" s="245" t="s">
        <v>1317</v>
      </c>
      <c r="C1140" s="18">
        <v>8</v>
      </c>
      <c r="D1140" s="246" t="s">
        <v>1299</v>
      </c>
      <c r="E1140" s="247">
        <v>0</v>
      </c>
      <c r="F1140" s="248" t="s">
        <v>1249</v>
      </c>
      <c r="G1140" s="248">
        <v>5</v>
      </c>
      <c r="H1140" s="249">
        <v>37</v>
      </c>
      <c r="I1140" s="259" t="s">
        <v>1299</v>
      </c>
      <c r="J1140" s="260"/>
      <c r="K1140" s="250"/>
    </row>
    <row r="1141" spans="1:11">
      <c r="A1141" s="19" t="s">
        <v>1256</v>
      </c>
      <c r="B1141" s="245" t="s">
        <v>1317</v>
      </c>
      <c r="C1141" s="18">
        <v>9</v>
      </c>
      <c r="D1141" s="246" t="s">
        <v>1300</v>
      </c>
      <c r="E1141" s="247">
        <v>0</v>
      </c>
      <c r="F1141" s="248" t="s">
        <v>1249</v>
      </c>
      <c r="G1141" s="248">
        <v>5</v>
      </c>
      <c r="H1141" s="249">
        <v>42</v>
      </c>
      <c r="I1141" s="259" t="s">
        <v>1300</v>
      </c>
      <c r="J1141" s="260"/>
      <c r="K1141" s="250"/>
    </row>
    <row r="1142" spans="1:11">
      <c r="A1142" s="19" t="s">
        <v>1256</v>
      </c>
      <c r="B1142" s="245" t="s">
        <v>1317</v>
      </c>
      <c r="C1142" s="18">
        <v>10</v>
      </c>
      <c r="D1142" s="246" t="s">
        <v>1301</v>
      </c>
      <c r="E1142" s="247">
        <v>0</v>
      </c>
      <c r="F1142" s="248" t="s">
        <v>1249</v>
      </c>
      <c r="G1142" s="248">
        <v>5</v>
      </c>
      <c r="H1142" s="249">
        <v>47</v>
      </c>
      <c r="I1142" s="259" t="s">
        <v>1301</v>
      </c>
      <c r="J1142" s="260"/>
      <c r="K1142" s="250"/>
    </row>
    <row r="1143" spans="1:11">
      <c r="A1143" s="19" t="s">
        <v>1256</v>
      </c>
      <c r="B1143" s="245" t="s">
        <v>1317</v>
      </c>
      <c r="C1143" s="18">
        <v>11</v>
      </c>
      <c r="D1143" s="246" t="s">
        <v>881</v>
      </c>
      <c r="E1143" s="247">
        <v>0</v>
      </c>
      <c r="F1143" s="248" t="s">
        <v>825</v>
      </c>
      <c r="G1143" s="248">
        <v>32</v>
      </c>
      <c r="H1143" s="249">
        <v>79</v>
      </c>
      <c r="I1143" s="259" t="s">
        <v>881</v>
      </c>
      <c r="J1143" s="260"/>
      <c r="K1143" s="250"/>
    </row>
    <row r="1144" spans="1:11">
      <c r="A1144" s="256" t="s">
        <v>1256</v>
      </c>
      <c r="B1144" s="245" t="s">
        <v>1317</v>
      </c>
      <c r="C1144" s="38">
        <v>12</v>
      </c>
      <c r="D1144" s="246" t="s">
        <v>634</v>
      </c>
      <c r="E1144" s="252">
        <v>0</v>
      </c>
      <c r="F1144" s="253" t="s">
        <v>825</v>
      </c>
      <c r="G1144" s="253">
        <v>1</v>
      </c>
      <c r="H1144" s="254">
        <v>80</v>
      </c>
      <c r="I1144" s="262" t="s">
        <v>1342</v>
      </c>
      <c r="J1144" s="261"/>
      <c r="K1144" s="255"/>
    </row>
    <row r="1145" spans="1:11">
      <c r="A1145" s="238" t="s">
        <v>1237</v>
      </c>
      <c r="B1145" s="239" t="s">
        <v>1318</v>
      </c>
      <c r="C1145" s="240">
        <v>1</v>
      </c>
      <c r="D1145" s="246" t="s">
        <v>389</v>
      </c>
      <c r="E1145" s="241">
        <v>0</v>
      </c>
      <c r="F1145" s="242" t="s">
        <v>825</v>
      </c>
      <c r="G1145" s="242">
        <v>2</v>
      </c>
      <c r="H1145" s="243">
        <v>2</v>
      </c>
      <c r="I1145" s="259" t="s">
        <v>1337</v>
      </c>
      <c r="J1145" s="260"/>
      <c r="K1145" s="244"/>
    </row>
    <row r="1146" spans="1:11">
      <c r="A1146" s="19" t="s">
        <v>1237</v>
      </c>
      <c r="B1146" s="245" t="s">
        <v>1318</v>
      </c>
      <c r="C1146" s="18">
        <v>2</v>
      </c>
      <c r="D1146" s="246" t="s">
        <v>706</v>
      </c>
      <c r="E1146" s="247">
        <v>0</v>
      </c>
      <c r="F1146" s="248" t="s">
        <v>825</v>
      </c>
      <c r="G1146" s="248">
        <v>3</v>
      </c>
      <c r="H1146" s="249">
        <v>5</v>
      </c>
      <c r="I1146" s="259" t="s">
        <v>1338</v>
      </c>
      <c r="J1146" s="260" t="s">
        <v>1339</v>
      </c>
      <c r="K1146" s="250"/>
    </row>
    <row r="1147" spans="1:11">
      <c r="A1147" s="19" t="s">
        <v>1237</v>
      </c>
      <c r="B1147" s="245" t="s">
        <v>1318</v>
      </c>
      <c r="C1147" s="18">
        <v>3</v>
      </c>
      <c r="D1147" s="246" t="s">
        <v>1286</v>
      </c>
      <c r="E1147" s="247">
        <v>0</v>
      </c>
      <c r="F1147" s="248" t="s">
        <v>825</v>
      </c>
      <c r="G1147" s="248">
        <v>4</v>
      </c>
      <c r="H1147" s="249">
        <v>9</v>
      </c>
      <c r="I1147" s="259" t="s">
        <v>1286</v>
      </c>
      <c r="J1147" s="260"/>
      <c r="K1147" s="250"/>
    </row>
    <row r="1148" spans="1:11">
      <c r="A1148" s="19" t="s">
        <v>1237</v>
      </c>
      <c r="B1148" s="245" t="s">
        <v>1318</v>
      </c>
      <c r="C1148" s="18">
        <v>4</v>
      </c>
      <c r="D1148" s="246" t="s">
        <v>423</v>
      </c>
      <c r="E1148" s="247">
        <v>0</v>
      </c>
      <c r="F1148" s="248" t="s">
        <v>825</v>
      </c>
      <c r="G1148" s="248">
        <v>8</v>
      </c>
      <c r="H1148" s="249">
        <v>17</v>
      </c>
      <c r="I1148" s="259" t="s">
        <v>423</v>
      </c>
      <c r="J1148" s="260"/>
      <c r="K1148" s="250"/>
    </row>
    <row r="1149" spans="1:11">
      <c r="A1149" s="19" t="s">
        <v>1237</v>
      </c>
      <c r="B1149" s="245" t="s">
        <v>1318</v>
      </c>
      <c r="C1149" s="18">
        <v>5</v>
      </c>
      <c r="D1149" s="246" t="s">
        <v>1287</v>
      </c>
      <c r="E1149" s="247">
        <v>0</v>
      </c>
      <c r="F1149" s="248" t="s">
        <v>825</v>
      </c>
      <c r="G1149" s="248">
        <v>4</v>
      </c>
      <c r="H1149" s="249">
        <v>21</v>
      </c>
      <c r="I1149" s="259" t="s">
        <v>1349</v>
      </c>
      <c r="J1149" s="260"/>
      <c r="K1149" s="250"/>
    </row>
    <row r="1150" spans="1:11">
      <c r="A1150" s="19" t="s">
        <v>1237</v>
      </c>
      <c r="B1150" s="245" t="s">
        <v>1318</v>
      </c>
      <c r="C1150" s="18">
        <v>6</v>
      </c>
      <c r="D1150" s="246" t="s">
        <v>1264</v>
      </c>
      <c r="E1150" s="247">
        <v>1</v>
      </c>
      <c r="F1150" s="248" t="s">
        <v>824</v>
      </c>
      <c r="G1150" s="248">
        <v>6</v>
      </c>
      <c r="H1150" s="249">
        <v>27</v>
      </c>
      <c r="I1150" s="259" t="s">
        <v>1264</v>
      </c>
      <c r="J1150" s="260"/>
      <c r="K1150" s="250"/>
    </row>
    <row r="1151" spans="1:11">
      <c r="A1151" s="19" t="s">
        <v>1237</v>
      </c>
      <c r="B1151" s="245" t="s">
        <v>1318</v>
      </c>
      <c r="C1151" s="18">
        <v>7</v>
      </c>
      <c r="D1151" s="246" t="s">
        <v>1265</v>
      </c>
      <c r="E1151" s="247">
        <v>1</v>
      </c>
      <c r="F1151" s="248" t="s">
        <v>824</v>
      </c>
      <c r="G1151" s="248">
        <v>6</v>
      </c>
      <c r="H1151" s="249">
        <v>33</v>
      </c>
      <c r="I1151" s="259" t="s">
        <v>1265</v>
      </c>
      <c r="J1151" s="260"/>
      <c r="K1151" s="250"/>
    </row>
    <row r="1152" spans="1:11">
      <c r="A1152" s="19" t="s">
        <v>1237</v>
      </c>
      <c r="B1152" s="245" t="s">
        <v>1318</v>
      </c>
      <c r="C1152" s="18">
        <v>8</v>
      </c>
      <c r="D1152" s="246" t="s">
        <v>881</v>
      </c>
      <c r="E1152" s="247">
        <v>0</v>
      </c>
      <c r="F1152" s="248" t="s">
        <v>825</v>
      </c>
      <c r="G1152" s="248">
        <v>46</v>
      </c>
      <c r="H1152" s="249">
        <v>79</v>
      </c>
      <c r="I1152" s="259" t="s">
        <v>881</v>
      </c>
      <c r="J1152" s="260"/>
      <c r="K1152" s="250"/>
    </row>
    <row r="1153" spans="1:11">
      <c r="A1153" s="256" t="s">
        <v>1237</v>
      </c>
      <c r="B1153" s="245" t="s">
        <v>1318</v>
      </c>
      <c r="C1153" s="38">
        <v>9</v>
      </c>
      <c r="D1153" s="246" t="s">
        <v>634</v>
      </c>
      <c r="E1153" s="252">
        <v>0</v>
      </c>
      <c r="F1153" s="253" t="s">
        <v>825</v>
      </c>
      <c r="G1153" s="253">
        <v>1</v>
      </c>
      <c r="H1153" s="254">
        <v>80</v>
      </c>
      <c r="I1153" s="261" t="s">
        <v>1342</v>
      </c>
      <c r="J1153" s="261"/>
      <c r="K1153" s="255"/>
    </row>
    <row r="1154" spans="1:11">
      <c r="A1154" s="238" t="s">
        <v>1257</v>
      </c>
      <c r="B1154" s="239" t="s">
        <v>1319</v>
      </c>
      <c r="C1154" s="240">
        <v>1</v>
      </c>
      <c r="D1154" s="246" t="s">
        <v>389</v>
      </c>
      <c r="E1154" s="241">
        <v>0</v>
      </c>
      <c r="F1154" s="242" t="s">
        <v>825</v>
      </c>
      <c r="G1154" s="242">
        <v>2</v>
      </c>
      <c r="H1154" s="243">
        <v>2</v>
      </c>
      <c r="I1154" s="259" t="s">
        <v>1337</v>
      </c>
      <c r="J1154" s="259"/>
      <c r="K1154" s="244"/>
    </row>
    <row r="1155" spans="1:11">
      <c r="A1155" s="19" t="s">
        <v>1257</v>
      </c>
      <c r="B1155" s="245" t="s">
        <v>1319</v>
      </c>
      <c r="C1155" s="18">
        <v>2</v>
      </c>
      <c r="D1155" s="246" t="s">
        <v>706</v>
      </c>
      <c r="E1155" s="247">
        <v>0</v>
      </c>
      <c r="F1155" s="248" t="s">
        <v>825</v>
      </c>
      <c r="G1155" s="248">
        <v>3</v>
      </c>
      <c r="H1155" s="249">
        <v>5</v>
      </c>
      <c r="I1155" s="259" t="s">
        <v>1338</v>
      </c>
      <c r="J1155" s="260" t="s">
        <v>1339</v>
      </c>
      <c r="K1155" s="250"/>
    </row>
    <row r="1156" spans="1:11">
      <c r="A1156" s="19" t="s">
        <v>1257</v>
      </c>
      <c r="B1156" s="245" t="s">
        <v>1319</v>
      </c>
      <c r="C1156" s="18">
        <v>3</v>
      </c>
      <c r="D1156" s="246" t="s">
        <v>1286</v>
      </c>
      <c r="E1156" s="247">
        <v>0</v>
      </c>
      <c r="F1156" s="248" t="s">
        <v>825</v>
      </c>
      <c r="G1156" s="248">
        <v>4</v>
      </c>
      <c r="H1156" s="249">
        <v>9</v>
      </c>
      <c r="I1156" s="259" t="s">
        <v>1286</v>
      </c>
      <c r="J1156" s="260"/>
      <c r="K1156" s="250"/>
    </row>
    <row r="1157" spans="1:11">
      <c r="A1157" s="19" t="s">
        <v>1257</v>
      </c>
      <c r="B1157" s="245" t="s">
        <v>1319</v>
      </c>
      <c r="C1157" s="18">
        <v>4</v>
      </c>
      <c r="D1157" s="246" t="s">
        <v>423</v>
      </c>
      <c r="E1157" s="247">
        <v>0</v>
      </c>
      <c r="F1157" s="248" t="s">
        <v>825</v>
      </c>
      <c r="G1157" s="248">
        <v>8</v>
      </c>
      <c r="H1157" s="249">
        <v>17</v>
      </c>
      <c r="I1157" s="259" t="s">
        <v>423</v>
      </c>
      <c r="J1157" s="260"/>
      <c r="K1157" s="250"/>
    </row>
    <row r="1158" spans="1:11" ht="136.5">
      <c r="A1158" s="19" t="s">
        <v>1257</v>
      </c>
      <c r="B1158" s="245" t="s">
        <v>1319</v>
      </c>
      <c r="C1158" s="18">
        <v>5</v>
      </c>
      <c r="D1158" s="246" t="s">
        <v>1295</v>
      </c>
      <c r="E1158" s="247">
        <v>0</v>
      </c>
      <c r="F1158" s="248" t="s">
        <v>825</v>
      </c>
      <c r="G1158" s="248">
        <v>3</v>
      </c>
      <c r="H1158" s="249">
        <v>20</v>
      </c>
      <c r="I1158" s="259" t="s">
        <v>1340</v>
      </c>
      <c r="J1158" s="260"/>
      <c r="K1158" s="250"/>
    </row>
    <row r="1159" spans="1:11" ht="147">
      <c r="A1159" s="19" t="s">
        <v>1257</v>
      </c>
      <c r="B1159" s="245" t="s">
        <v>1319</v>
      </c>
      <c r="C1159" s="18">
        <v>6</v>
      </c>
      <c r="D1159" s="246" t="s">
        <v>1289</v>
      </c>
      <c r="E1159" s="247">
        <v>0</v>
      </c>
      <c r="F1159" s="248" t="s">
        <v>825</v>
      </c>
      <c r="G1159" s="248">
        <v>2</v>
      </c>
      <c r="H1159" s="249">
        <v>22</v>
      </c>
      <c r="I1159" s="259" t="s">
        <v>1343</v>
      </c>
      <c r="J1159" s="260"/>
      <c r="K1159" s="250"/>
    </row>
    <row r="1160" spans="1:11">
      <c r="A1160" s="19" t="s">
        <v>1257</v>
      </c>
      <c r="B1160" s="245" t="s">
        <v>1319</v>
      </c>
      <c r="C1160" s="18">
        <v>7</v>
      </c>
      <c r="D1160" s="246" t="s">
        <v>1334</v>
      </c>
      <c r="E1160" s="247">
        <v>2</v>
      </c>
      <c r="F1160" s="248" t="s">
        <v>824</v>
      </c>
      <c r="G1160" s="248">
        <v>8</v>
      </c>
      <c r="H1160" s="249">
        <v>30</v>
      </c>
      <c r="I1160" s="259" t="s">
        <v>1334</v>
      </c>
      <c r="J1160" s="260"/>
      <c r="K1160" s="250"/>
    </row>
    <row r="1161" spans="1:11">
      <c r="A1161" s="19" t="s">
        <v>1257</v>
      </c>
      <c r="B1161" s="245" t="s">
        <v>1319</v>
      </c>
      <c r="C1161" s="18">
        <v>8</v>
      </c>
      <c r="D1161" s="246" t="s">
        <v>1335</v>
      </c>
      <c r="E1161" s="247">
        <v>2</v>
      </c>
      <c r="F1161" s="248" t="s">
        <v>824</v>
      </c>
      <c r="G1161" s="248">
        <v>8</v>
      </c>
      <c r="H1161" s="249">
        <v>38</v>
      </c>
      <c r="I1161" s="259" t="s">
        <v>1335</v>
      </c>
      <c r="J1161" s="260"/>
      <c r="K1161" s="250"/>
    </row>
    <row r="1162" spans="1:11">
      <c r="A1162" s="19" t="s">
        <v>1257</v>
      </c>
      <c r="B1162" s="245" t="s">
        <v>1319</v>
      </c>
      <c r="C1162" s="18">
        <v>9</v>
      </c>
      <c r="D1162" s="246" t="s">
        <v>1326</v>
      </c>
      <c r="E1162" s="247">
        <v>2</v>
      </c>
      <c r="F1162" s="248" t="s">
        <v>824</v>
      </c>
      <c r="G1162" s="248">
        <v>7</v>
      </c>
      <c r="H1162" s="249">
        <v>45</v>
      </c>
      <c r="I1162" s="259" t="s">
        <v>1326</v>
      </c>
      <c r="J1162" s="260"/>
      <c r="K1162" s="250"/>
    </row>
    <row r="1163" spans="1:11">
      <c r="A1163" s="19" t="s">
        <v>1257</v>
      </c>
      <c r="B1163" s="245" t="s">
        <v>1319</v>
      </c>
      <c r="C1163" s="18">
        <v>10</v>
      </c>
      <c r="D1163" s="246" t="s">
        <v>1327</v>
      </c>
      <c r="E1163" s="247">
        <v>2</v>
      </c>
      <c r="F1163" s="248" t="s">
        <v>824</v>
      </c>
      <c r="G1163" s="248">
        <v>7</v>
      </c>
      <c r="H1163" s="249">
        <v>52</v>
      </c>
      <c r="I1163" s="259" t="s">
        <v>1327</v>
      </c>
      <c r="J1163" s="260"/>
      <c r="K1163" s="250"/>
    </row>
    <row r="1164" spans="1:11">
      <c r="A1164" s="19" t="s">
        <v>1257</v>
      </c>
      <c r="B1164" s="245" t="s">
        <v>1319</v>
      </c>
      <c r="C1164" s="18">
        <v>11</v>
      </c>
      <c r="D1164" s="246" t="s">
        <v>881</v>
      </c>
      <c r="E1164" s="247">
        <v>0</v>
      </c>
      <c r="F1164" s="248" t="s">
        <v>825</v>
      </c>
      <c r="G1164" s="248">
        <v>27</v>
      </c>
      <c r="H1164" s="249">
        <v>79</v>
      </c>
      <c r="I1164" s="259" t="s">
        <v>881</v>
      </c>
      <c r="J1164" s="260"/>
      <c r="K1164" s="250"/>
    </row>
    <row r="1165" spans="1:11">
      <c r="A1165" s="256" t="s">
        <v>1257</v>
      </c>
      <c r="B1165" s="245" t="s">
        <v>1319</v>
      </c>
      <c r="C1165" s="38">
        <v>12</v>
      </c>
      <c r="D1165" s="246" t="s">
        <v>634</v>
      </c>
      <c r="E1165" s="252">
        <v>0</v>
      </c>
      <c r="F1165" s="253" t="s">
        <v>825</v>
      </c>
      <c r="G1165" s="253">
        <v>1</v>
      </c>
      <c r="H1165" s="254">
        <v>80</v>
      </c>
      <c r="I1165" s="261" t="s">
        <v>1342</v>
      </c>
      <c r="J1165" s="261"/>
      <c r="K1165" s="255"/>
    </row>
    <row r="1166" spans="1:11">
      <c r="A1166" s="238" t="s">
        <v>1258</v>
      </c>
      <c r="B1166" s="239" t="s">
        <v>1320</v>
      </c>
      <c r="C1166" s="240">
        <v>1</v>
      </c>
      <c r="D1166" s="246" t="s">
        <v>389</v>
      </c>
      <c r="E1166" s="241">
        <v>0</v>
      </c>
      <c r="F1166" s="242" t="s">
        <v>825</v>
      </c>
      <c r="G1166" s="242">
        <v>2</v>
      </c>
      <c r="H1166" s="243">
        <v>2</v>
      </c>
      <c r="I1166" s="259" t="s">
        <v>1337</v>
      </c>
      <c r="J1166" s="259"/>
      <c r="K1166" s="244"/>
    </row>
    <row r="1167" spans="1:11">
      <c r="A1167" s="19" t="s">
        <v>1258</v>
      </c>
      <c r="B1167" s="245" t="s">
        <v>1320</v>
      </c>
      <c r="C1167" s="18">
        <v>2</v>
      </c>
      <c r="D1167" s="246" t="s">
        <v>706</v>
      </c>
      <c r="E1167" s="247">
        <v>0</v>
      </c>
      <c r="F1167" s="248" t="s">
        <v>825</v>
      </c>
      <c r="G1167" s="248">
        <v>3</v>
      </c>
      <c r="H1167" s="249">
        <v>5</v>
      </c>
      <c r="I1167" s="259" t="s">
        <v>1338</v>
      </c>
      <c r="J1167" s="260" t="s">
        <v>1339</v>
      </c>
      <c r="K1167" s="250"/>
    </row>
    <row r="1168" spans="1:11">
      <c r="A1168" s="19" t="s">
        <v>1258</v>
      </c>
      <c r="B1168" s="245" t="s">
        <v>1320</v>
      </c>
      <c r="C1168" s="18">
        <v>3</v>
      </c>
      <c r="D1168" s="246" t="s">
        <v>1286</v>
      </c>
      <c r="E1168" s="247">
        <v>0</v>
      </c>
      <c r="F1168" s="248" t="s">
        <v>825</v>
      </c>
      <c r="G1168" s="248">
        <v>4</v>
      </c>
      <c r="H1168" s="249">
        <v>9</v>
      </c>
      <c r="I1168" s="259" t="s">
        <v>1286</v>
      </c>
      <c r="J1168" s="260"/>
      <c r="K1168" s="250"/>
    </row>
    <row r="1169" spans="1:11">
      <c r="A1169" s="19" t="s">
        <v>1258</v>
      </c>
      <c r="B1169" s="245" t="s">
        <v>1320</v>
      </c>
      <c r="C1169" s="18">
        <v>4</v>
      </c>
      <c r="D1169" s="246" t="s">
        <v>423</v>
      </c>
      <c r="E1169" s="247">
        <v>0</v>
      </c>
      <c r="F1169" s="248" t="s">
        <v>825</v>
      </c>
      <c r="G1169" s="248">
        <v>8</v>
      </c>
      <c r="H1169" s="249">
        <v>17</v>
      </c>
      <c r="I1169" s="259" t="s">
        <v>423</v>
      </c>
      <c r="J1169" s="260"/>
      <c r="K1169" s="250"/>
    </row>
    <row r="1170" spans="1:11" ht="147">
      <c r="A1170" s="19" t="s">
        <v>1258</v>
      </c>
      <c r="B1170" s="245" t="s">
        <v>1320</v>
      </c>
      <c r="C1170" s="18">
        <v>5</v>
      </c>
      <c r="D1170" s="246" t="s">
        <v>1289</v>
      </c>
      <c r="E1170" s="247">
        <v>0</v>
      </c>
      <c r="F1170" s="248" t="s">
        <v>825</v>
      </c>
      <c r="G1170" s="248">
        <v>2</v>
      </c>
      <c r="H1170" s="249">
        <v>19</v>
      </c>
      <c r="I1170" s="259" t="s">
        <v>1343</v>
      </c>
      <c r="J1170" s="260"/>
      <c r="K1170" s="250"/>
    </row>
    <row r="1171" spans="1:11">
      <c r="A1171" s="19" t="s">
        <v>1258</v>
      </c>
      <c r="B1171" s="245" t="s">
        <v>1320</v>
      </c>
      <c r="C1171" s="18">
        <v>6</v>
      </c>
      <c r="D1171" s="246" t="s">
        <v>1290</v>
      </c>
      <c r="E1171" s="247">
        <v>0</v>
      </c>
      <c r="F1171" s="248" t="s">
        <v>825</v>
      </c>
      <c r="G1171" s="248">
        <v>8</v>
      </c>
      <c r="H1171" s="249">
        <v>27</v>
      </c>
      <c r="I1171" s="259" t="s">
        <v>1290</v>
      </c>
      <c r="J1171" s="260"/>
      <c r="K1171" s="250"/>
    </row>
    <row r="1172" spans="1:11">
      <c r="A1172" s="19" t="s">
        <v>1258</v>
      </c>
      <c r="B1172" s="245" t="s">
        <v>1320</v>
      </c>
      <c r="C1172" s="18">
        <v>7</v>
      </c>
      <c r="D1172" s="246" t="s">
        <v>1468</v>
      </c>
      <c r="E1172" s="247">
        <v>0</v>
      </c>
      <c r="F1172" s="248" t="s">
        <v>825</v>
      </c>
      <c r="G1172" s="248">
        <v>10</v>
      </c>
      <c r="H1172" s="249">
        <v>37</v>
      </c>
      <c r="I1172" s="259" t="s">
        <v>1468</v>
      </c>
      <c r="J1172" s="260"/>
      <c r="K1172" s="250"/>
    </row>
    <row r="1173" spans="1:11">
      <c r="A1173" s="19" t="s">
        <v>1258</v>
      </c>
      <c r="B1173" s="245" t="s">
        <v>1320</v>
      </c>
      <c r="C1173" s="18">
        <v>8</v>
      </c>
      <c r="D1173" s="246" t="s">
        <v>1325</v>
      </c>
      <c r="E1173" s="247">
        <v>1</v>
      </c>
      <c r="F1173" s="248" t="s">
        <v>824</v>
      </c>
      <c r="G1173" s="248">
        <v>6</v>
      </c>
      <c r="H1173" s="249">
        <v>43</v>
      </c>
      <c r="I1173" s="259" t="s">
        <v>1325</v>
      </c>
      <c r="J1173" s="260"/>
      <c r="K1173" s="250"/>
    </row>
    <row r="1174" spans="1:11">
      <c r="A1174" s="19" t="s">
        <v>1258</v>
      </c>
      <c r="B1174" s="245" t="s">
        <v>1320</v>
      </c>
      <c r="C1174" s="18">
        <v>9</v>
      </c>
      <c r="D1174" s="246" t="s">
        <v>1324</v>
      </c>
      <c r="E1174" s="247">
        <v>1</v>
      </c>
      <c r="F1174" s="248" t="s">
        <v>824</v>
      </c>
      <c r="G1174" s="248">
        <v>6</v>
      </c>
      <c r="H1174" s="249">
        <v>49</v>
      </c>
      <c r="I1174" s="259" t="s">
        <v>1324</v>
      </c>
      <c r="J1174" s="260"/>
      <c r="K1174" s="250"/>
    </row>
    <row r="1175" spans="1:11">
      <c r="A1175" s="19" t="s">
        <v>1258</v>
      </c>
      <c r="B1175" s="245" t="s">
        <v>1320</v>
      </c>
      <c r="C1175" s="18">
        <v>10</v>
      </c>
      <c r="D1175" s="246" t="s">
        <v>1268</v>
      </c>
      <c r="E1175" s="247">
        <v>1</v>
      </c>
      <c r="F1175" s="248" t="s">
        <v>824</v>
      </c>
      <c r="G1175" s="248">
        <v>6</v>
      </c>
      <c r="H1175" s="249">
        <v>55</v>
      </c>
      <c r="I1175" s="259" t="s">
        <v>1268</v>
      </c>
      <c r="J1175" s="260"/>
      <c r="K1175" s="250"/>
    </row>
    <row r="1176" spans="1:11">
      <c r="A1176" s="19" t="s">
        <v>1258</v>
      </c>
      <c r="B1176" s="245" t="s">
        <v>1320</v>
      </c>
      <c r="C1176" s="18">
        <v>11</v>
      </c>
      <c r="D1176" s="246" t="s">
        <v>1269</v>
      </c>
      <c r="E1176" s="247">
        <v>1</v>
      </c>
      <c r="F1176" s="248" t="s">
        <v>824</v>
      </c>
      <c r="G1176" s="248">
        <v>6</v>
      </c>
      <c r="H1176" s="249">
        <v>61</v>
      </c>
      <c r="I1176" s="259" t="s">
        <v>1269</v>
      </c>
      <c r="J1176" s="260"/>
      <c r="K1176" s="250"/>
    </row>
    <row r="1177" spans="1:11">
      <c r="A1177" s="19" t="s">
        <v>1258</v>
      </c>
      <c r="B1177" s="245" t="s">
        <v>1320</v>
      </c>
      <c r="C1177" s="18">
        <v>12</v>
      </c>
      <c r="D1177" s="246" t="s">
        <v>1267</v>
      </c>
      <c r="E1177" s="247">
        <v>1</v>
      </c>
      <c r="F1177" s="248" t="s">
        <v>824</v>
      </c>
      <c r="G1177" s="248">
        <v>6</v>
      </c>
      <c r="H1177" s="249">
        <v>67</v>
      </c>
      <c r="I1177" s="259" t="s">
        <v>1267</v>
      </c>
      <c r="J1177" s="260"/>
      <c r="K1177" s="250"/>
    </row>
    <row r="1178" spans="1:11">
      <c r="A1178" s="19" t="s">
        <v>1258</v>
      </c>
      <c r="B1178" s="245" t="s">
        <v>1320</v>
      </c>
      <c r="C1178" s="18">
        <v>13</v>
      </c>
      <c r="D1178" s="246" t="s">
        <v>1293</v>
      </c>
      <c r="E1178" s="247">
        <v>1</v>
      </c>
      <c r="F1178" s="248" t="s">
        <v>824</v>
      </c>
      <c r="G1178" s="248">
        <v>6</v>
      </c>
      <c r="H1178" s="249">
        <v>73</v>
      </c>
      <c r="I1178" s="259" t="s">
        <v>1346</v>
      </c>
      <c r="J1178" s="260"/>
      <c r="K1178" s="250"/>
    </row>
    <row r="1179" spans="1:11">
      <c r="A1179" s="19" t="s">
        <v>1258</v>
      </c>
      <c r="B1179" s="245" t="s">
        <v>1320</v>
      </c>
      <c r="C1179" s="18">
        <v>14</v>
      </c>
      <c r="D1179" s="246" t="s">
        <v>856</v>
      </c>
      <c r="E1179" s="247">
        <v>0</v>
      </c>
      <c r="F1179" s="248" t="s">
        <v>825</v>
      </c>
      <c r="G1179" s="248">
        <v>6</v>
      </c>
      <c r="H1179" s="249">
        <v>79</v>
      </c>
      <c r="I1179" s="259" t="s">
        <v>856</v>
      </c>
      <c r="J1179" s="260"/>
      <c r="K1179" s="250"/>
    </row>
    <row r="1180" spans="1:11">
      <c r="A1180" s="256" t="s">
        <v>1258</v>
      </c>
      <c r="B1180" s="245" t="s">
        <v>1320</v>
      </c>
      <c r="C1180" s="38">
        <v>15</v>
      </c>
      <c r="D1180" s="246" t="s">
        <v>634</v>
      </c>
      <c r="E1180" s="252">
        <v>0</v>
      </c>
      <c r="F1180" s="253" t="s">
        <v>825</v>
      </c>
      <c r="G1180" s="253">
        <v>1</v>
      </c>
      <c r="H1180" s="254">
        <v>80</v>
      </c>
      <c r="I1180" s="261" t="s">
        <v>1342</v>
      </c>
      <c r="J1180" s="261"/>
      <c r="K1180" s="255"/>
    </row>
    <row r="1181" spans="1:11">
      <c r="A1181" s="238" t="s">
        <v>1259</v>
      </c>
      <c r="B1181" s="239" t="s">
        <v>1321</v>
      </c>
      <c r="C1181" s="240">
        <v>1</v>
      </c>
      <c r="D1181" s="246" t="s">
        <v>389</v>
      </c>
      <c r="E1181" s="241">
        <v>0</v>
      </c>
      <c r="F1181" s="242" t="s">
        <v>825</v>
      </c>
      <c r="G1181" s="242">
        <v>2</v>
      </c>
      <c r="H1181" s="243">
        <v>2</v>
      </c>
      <c r="I1181" s="259" t="s">
        <v>1337</v>
      </c>
      <c r="J1181" s="259"/>
      <c r="K1181" s="244"/>
    </row>
    <row r="1182" spans="1:11">
      <c r="A1182" s="19" t="s">
        <v>1259</v>
      </c>
      <c r="B1182" s="245" t="s">
        <v>1321</v>
      </c>
      <c r="C1182" s="18">
        <v>2</v>
      </c>
      <c r="D1182" s="246" t="s">
        <v>706</v>
      </c>
      <c r="E1182" s="247">
        <v>0</v>
      </c>
      <c r="F1182" s="248" t="s">
        <v>825</v>
      </c>
      <c r="G1182" s="248">
        <v>3</v>
      </c>
      <c r="H1182" s="249">
        <v>5</v>
      </c>
      <c r="I1182" s="259" t="s">
        <v>1338</v>
      </c>
      <c r="J1182" s="260" t="s">
        <v>1339</v>
      </c>
      <c r="K1182" s="250"/>
    </row>
    <row r="1183" spans="1:11">
      <c r="A1183" s="19" t="s">
        <v>1259</v>
      </c>
      <c r="B1183" s="245" t="s">
        <v>1321</v>
      </c>
      <c r="C1183" s="18">
        <v>3</v>
      </c>
      <c r="D1183" s="246" t="s">
        <v>1286</v>
      </c>
      <c r="E1183" s="247">
        <v>0</v>
      </c>
      <c r="F1183" s="248" t="s">
        <v>825</v>
      </c>
      <c r="G1183" s="248">
        <v>4</v>
      </c>
      <c r="H1183" s="249">
        <v>9</v>
      </c>
      <c r="I1183" s="259" t="s">
        <v>1286</v>
      </c>
      <c r="J1183" s="260"/>
      <c r="K1183" s="250"/>
    </row>
    <row r="1184" spans="1:11">
      <c r="A1184" s="19" t="s">
        <v>1259</v>
      </c>
      <c r="B1184" s="245" t="s">
        <v>1321</v>
      </c>
      <c r="C1184" s="18">
        <v>4</v>
      </c>
      <c r="D1184" s="246" t="s">
        <v>423</v>
      </c>
      <c r="E1184" s="247">
        <v>0</v>
      </c>
      <c r="F1184" s="248" t="s">
        <v>825</v>
      </c>
      <c r="G1184" s="248">
        <v>8</v>
      </c>
      <c r="H1184" s="249">
        <v>17</v>
      </c>
      <c r="I1184" s="259" t="s">
        <v>423</v>
      </c>
      <c r="J1184" s="260"/>
      <c r="K1184" s="250"/>
    </row>
    <row r="1185" spans="1:11" ht="147">
      <c r="A1185" s="19" t="s">
        <v>1259</v>
      </c>
      <c r="B1185" s="245" t="s">
        <v>1321</v>
      </c>
      <c r="C1185" s="18">
        <v>5</v>
      </c>
      <c r="D1185" s="246" t="s">
        <v>1289</v>
      </c>
      <c r="E1185" s="247">
        <v>0</v>
      </c>
      <c r="F1185" s="248" t="s">
        <v>825</v>
      </c>
      <c r="G1185" s="248">
        <v>2</v>
      </c>
      <c r="H1185" s="249">
        <v>19</v>
      </c>
      <c r="I1185" s="259" t="s">
        <v>1343</v>
      </c>
      <c r="J1185" s="260"/>
      <c r="K1185" s="250"/>
    </row>
    <row r="1186" spans="1:11">
      <c r="A1186" s="19" t="s">
        <v>1259</v>
      </c>
      <c r="B1186" s="245" t="s">
        <v>1321</v>
      </c>
      <c r="C1186" s="18">
        <v>6</v>
      </c>
      <c r="D1186" s="246" t="s">
        <v>1290</v>
      </c>
      <c r="E1186" s="247">
        <v>0</v>
      </c>
      <c r="F1186" s="248" t="s">
        <v>825</v>
      </c>
      <c r="G1186" s="248">
        <v>8</v>
      </c>
      <c r="H1186" s="249">
        <v>27</v>
      </c>
      <c r="I1186" s="259" t="s">
        <v>1290</v>
      </c>
      <c r="J1186" s="260"/>
      <c r="K1186" s="250"/>
    </row>
    <row r="1187" spans="1:11">
      <c r="A1187" s="19" t="s">
        <v>1259</v>
      </c>
      <c r="B1187" s="245" t="s">
        <v>1321</v>
      </c>
      <c r="C1187" s="18">
        <v>7</v>
      </c>
      <c r="D1187" s="246" t="s">
        <v>1287</v>
      </c>
      <c r="E1187" s="247">
        <v>0</v>
      </c>
      <c r="F1187" s="248" t="s">
        <v>825</v>
      </c>
      <c r="G1187" s="248">
        <v>4</v>
      </c>
      <c r="H1187" s="249">
        <v>31</v>
      </c>
      <c r="I1187" s="259" t="s">
        <v>1349</v>
      </c>
      <c r="J1187" s="260"/>
      <c r="K1187" s="250"/>
    </row>
    <row r="1188" spans="1:11">
      <c r="A1188" s="19" t="s">
        <v>1259</v>
      </c>
      <c r="B1188" s="245" t="s">
        <v>1321</v>
      </c>
      <c r="C1188" s="18">
        <v>8</v>
      </c>
      <c r="D1188" s="246" t="s">
        <v>1270</v>
      </c>
      <c r="E1188" s="247">
        <v>1</v>
      </c>
      <c r="F1188" s="248" t="s">
        <v>824</v>
      </c>
      <c r="G1188" s="248">
        <v>6</v>
      </c>
      <c r="H1188" s="249">
        <v>37</v>
      </c>
      <c r="I1188" s="259" t="s">
        <v>1270</v>
      </c>
      <c r="J1188" s="260"/>
      <c r="K1188" s="250"/>
    </row>
    <row r="1189" spans="1:11">
      <c r="A1189" s="19" t="s">
        <v>1259</v>
      </c>
      <c r="B1189" s="245" t="s">
        <v>1321</v>
      </c>
      <c r="C1189" s="18">
        <v>9</v>
      </c>
      <c r="D1189" s="246" t="s">
        <v>881</v>
      </c>
      <c r="E1189" s="247">
        <v>0</v>
      </c>
      <c r="F1189" s="248" t="s">
        <v>825</v>
      </c>
      <c r="G1189" s="248">
        <v>42</v>
      </c>
      <c r="H1189" s="249">
        <v>79</v>
      </c>
      <c r="I1189" s="259" t="s">
        <v>881</v>
      </c>
      <c r="J1189" s="260"/>
      <c r="K1189" s="250"/>
    </row>
    <row r="1190" spans="1:11">
      <c r="A1190" s="256" t="s">
        <v>1259</v>
      </c>
      <c r="B1190" s="245" t="s">
        <v>1321</v>
      </c>
      <c r="C1190" s="38">
        <v>10</v>
      </c>
      <c r="D1190" s="246" t="s">
        <v>634</v>
      </c>
      <c r="E1190" s="252">
        <v>0</v>
      </c>
      <c r="F1190" s="253" t="s">
        <v>825</v>
      </c>
      <c r="G1190" s="253">
        <v>1</v>
      </c>
      <c r="H1190" s="254">
        <v>80</v>
      </c>
      <c r="I1190" s="261" t="s">
        <v>1342</v>
      </c>
      <c r="J1190" s="261"/>
      <c r="K1190" s="255"/>
    </row>
    <row r="1191" spans="1:11">
      <c r="A1191" s="238" t="s">
        <v>1243</v>
      </c>
      <c r="B1191" s="239" t="s">
        <v>1323</v>
      </c>
      <c r="C1191" s="18">
        <v>1</v>
      </c>
      <c r="D1191" s="246" t="s">
        <v>389</v>
      </c>
      <c r="E1191" s="241">
        <v>0</v>
      </c>
      <c r="F1191" s="242" t="s">
        <v>825</v>
      </c>
      <c r="G1191" s="242">
        <v>2</v>
      </c>
      <c r="H1191" s="243">
        <v>2</v>
      </c>
      <c r="I1191" s="259" t="s">
        <v>1337</v>
      </c>
      <c r="J1191" s="259"/>
      <c r="K1191" s="250"/>
    </row>
    <row r="1192" spans="1:11">
      <c r="A1192" s="19" t="s">
        <v>1243</v>
      </c>
      <c r="B1192" s="245" t="s">
        <v>1323</v>
      </c>
      <c r="C1192" s="18">
        <v>2</v>
      </c>
      <c r="D1192" s="246" t="s">
        <v>706</v>
      </c>
      <c r="E1192" s="247">
        <v>0</v>
      </c>
      <c r="F1192" s="248" t="s">
        <v>825</v>
      </c>
      <c r="G1192" s="248">
        <v>3</v>
      </c>
      <c r="H1192" s="249">
        <v>5</v>
      </c>
      <c r="I1192" s="259" t="s">
        <v>1338</v>
      </c>
      <c r="J1192" s="260" t="s">
        <v>1339</v>
      </c>
      <c r="K1192" s="250"/>
    </row>
    <row r="1193" spans="1:11">
      <c r="A1193" s="19" t="s">
        <v>1243</v>
      </c>
      <c r="B1193" s="245" t="s">
        <v>1323</v>
      </c>
      <c r="C1193" s="18">
        <v>3</v>
      </c>
      <c r="D1193" s="246" t="s">
        <v>1478</v>
      </c>
      <c r="E1193" s="247">
        <v>0</v>
      </c>
      <c r="F1193" s="248" t="s">
        <v>825</v>
      </c>
      <c r="G1193" s="248">
        <v>4</v>
      </c>
      <c r="H1193" s="249">
        <v>9</v>
      </c>
      <c r="I1193" s="259" t="s">
        <v>1286</v>
      </c>
      <c r="J1193" s="260"/>
      <c r="K1193" s="250"/>
    </row>
    <row r="1194" spans="1:11">
      <c r="A1194" s="19" t="s">
        <v>1243</v>
      </c>
      <c r="B1194" s="245" t="s">
        <v>1323</v>
      </c>
      <c r="C1194" s="18">
        <v>4</v>
      </c>
      <c r="D1194" s="246" t="s">
        <v>1476</v>
      </c>
      <c r="E1194" s="247">
        <v>0</v>
      </c>
      <c r="F1194" s="248" t="s">
        <v>825</v>
      </c>
      <c r="G1194" s="248">
        <v>8</v>
      </c>
      <c r="H1194" s="249">
        <v>17</v>
      </c>
      <c r="I1194" s="259" t="s">
        <v>423</v>
      </c>
      <c r="J1194" s="260"/>
      <c r="K1194" s="250"/>
    </row>
    <row r="1195" spans="1:11" ht="147">
      <c r="A1195" s="19" t="s">
        <v>1243</v>
      </c>
      <c r="B1195" s="245" t="s">
        <v>1323</v>
      </c>
      <c r="C1195" s="18">
        <v>5</v>
      </c>
      <c r="D1195" s="246" t="s">
        <v>1474</v>
      </c>
      <c r="E1195" s="247">
        <v>0</v>
      </c>
      <c r="F1195" s="248" t="s">
        <v>825</v>
      </c>
      <c r="G1195" s="248">
        <v>2</v>
      </c>
      <c r="H1195" s="249">
        <v>19</v>
      </c>
      <c r="I1195" s="259" t="s">
        <v>1344</v>
      </c>
      <c r="J1195" s="260"/>
      <c r="K1195" s="250"/>
    </row>
    <row r="1196" spans="1:11">
      <c r="A1196" s="19" t="s">
        <v>1243</v>
      </c>
      <c r="B1196" s="245" t="s">
        <v>1323</v>
      </c>
      <c r="C1196" s="18">
        <v>6</v>
      </c>
      <c r="D1196" s="246" t="s">
        <v>1290</v>
      </c>
      <c r="E1196" s="247">
        <v>0</v>
      </c>
      <c r="F1196" s="248" t="s">
        <v>825</v>
      </c>
      <c r="G1196" s="248">
        <v>8</v>
      </c>
      <c r="H1196" s="249">
        <v>27</v>
      </c>
      <c r="I1196" s="259" t="s">
        <v>1290</v>
      </c>
      <c r="J1196" s="260"/>
      <c r="K1196" s="250"/>
    </row>
    <row r="1197" spans="1:11">
      <c r="A1197" s="19" t="s">
        <v>1243</v>
      </c>
      <c r="B1197" s="245" t="s">
        <v>1323</v>
      </c>
      <c r="C1197" s="18">
        <v>7</v>
      </c>
      <c r="D1197" s="246" t="s">
        <v>1469</v>
      </c>
      <c r="E1197" s="247">
        <v>2</v>
      </c>
      <c r="F1197" s="248" t="s">
        <v>824</v>
      </c>
      <c r="G1197" s="248">
        <v>6</v>
      </c>
      <c r="H1197" s="249">
        <v>33</v>
      </c>
      <c r="I1197" s="259" t="s">
        <v>1469</v>
      </c>
      <c r="J1197" s="260"/>
      <c r="K1197" s="250"/>
    </row>
    <row r="1198" spans="1:11">
      <c r="A1198" s="19" t="s">
        <v>1243</v>
      </c>
      <c r="B1198" s="245" t="s">
        <v>1323</v>
      </c>
      <c r="C1198" s="18">
        <v>8</v>
      </c>
      <c r="D1198" s="246" t="s">
        <v>1470</v>
      </c>
      <c r="E1198" s="247">
        <v>2</v>
      </c>
      <c r="F1198" s="248" t="s">
        <v>824</v>
      </c>
      <c r="G1198" s="248">
        <v>6</v>
      </c>
      <c r="H1198" s="249">
        <v>39</v>
      </c>
      <c r="I1198" s="259" t="s">
        <v>1470</v>
      </c>
      <c r="J1198" s="260"/>
      <c r="K1198" s="250"/>
    </row>
    <row r="1199" spans="1:11">
      <c r="A1199" s="19" t="s">
        <v>1243</v>
      </c>
      <c r="B1199" s="245" t="s">
        <v>1323</v>
      </c>
      <c r="C1199" s="18">
        <v>9</v>
      </c>
      <c r="D1199" s="246" t="s">
        <v>1471</v>
      </c>
      <c r="E1199" s="247">
        <v>2</v>
      </c>
      <c r="F1199" s="248" t="s">
        <v>824</v>
      </c>
      <c r="G1199" s="248">
        <v>6</v>
      </c>
      <c r="H1199" s="249">
        <v>45</v>
      </c>
      <c r="I1199" s="259" t="s">
        <v>1471</v>
      </c>
      <c r="J1199" s="260"/>
      <c r="K1199" s="250"/>
    </row>
    <row r="1200" spans="1:11">
      <c r="A1200" s="19" t="s">
        <v>1243</v>
      </c>
      <c r="B1200" s="245" t="s">
        <v>1323</v>
      </c>
      <c r="C1200" s="18">
        <v>10</v>
      </c>
      <c r="D1200" s="246" t="s">
        <v>1336</v>
      </c>
      <c r="E1200" s="247">
        <v>2</v>
      </c>
      <c r="F1200" s="248" t="s">
        <v>824</v>
      </c>
      <c r="G1200" s="248">
        <v>6</v>
      </c>
      <c r="H1200" s="249">
        <v>51</v>
      </c>
      <c r="I1200" s="259" t="s">
        <v>1336</v>
      </c>
      <c r="J1200" s="260"/>
      <c r="K1200" s="250"/>
    </row>
    <row r="1201" spans="1:11">
      <c r="A1201" s="19" t="s">
        <v>1243</v>
      </c>
      <c r="B1201" s="245" t="s">
        <v>1323</v>
      </c>
      <c r="C1201" s="18">
        <v>11</v>
      </c>
      <c r="D1201" s="246" t="s">
        <v>881</v>
      </c>
      <c r="E1201" s="247">
        <v>0</v>
      </c>
      <c r="F1201" s="248" t="s">
        <v>825</v>
      </c>
      <c r="G1201" s="248">
        <v>28</v>
      </c>
      <c r="H1201" s="249">
        <v>79</v>
      </c>
      <c r="I1201" s="259" t="s">
        <v>1350</v>
      </c>
      <c r="J1201" s="260"/>
      <c r="K1201" s="250"/>
    </row>
    <row r="1202" spans="1:11">
      <c r="A1202" s="256" t="s">
        <v>1243</v>
      </c>
      <c r="B1202" s="245" t="s">
        <v>1323</v>
      </c>
      <c r="C1202" s="38">
        <v>12</v>
      </c>
      <c r="D1202" s="246" t="s">
        <v>634</v>
      </c>
      <c r="E1202" s="252">
        <v>0</v>
      </c>
      <c r="F1202" s="253" t="s">
        <v>825</v>
      </c>
      <c r="G1202" s="253">
        <v>1</v>
      </c>
      <c r="H1202" s="254">
        <v>80</v>
      </c>
      <c r="I1202" s="259" t="s">
        <v>1351</v>
      </c>
      <c r="J1202" s="260"/>
      <c r="K1202" s="255"/>
    </row>
    <row r="1203" spans="1:11">
      <c r="A1203" s="311" t="s">
        <v>1234</v>
      </c>
      <c r="B1203" s="312" t="s">
        <v>1316</v>
      </c>
      <c r="C1203" s="18">
        <v>1</v>
      </c>
      <c r="D1203" s="313" t="s">
        <v>1472</v>
      </c>
      <c r="E1203" s="305">
        <v>0</v>
      </c>
      <c r="F1203" s="306" t="s">
        <v>825</v>
      </c>
      <c r="G1203" s="306">
        <v>2</v>
      </c>
      <c r="H1203" s="299">
        <f>G1203</f>
        <v>2</v>
      </c>
      <c r="I1203" s="314" t="s">
        <v>1337</v>
      </c>
      <c r="J1203" s="314"/>
      <c r="K1203" s="250"/>
    </row>
    <row r="1204" spans="1:11">
      <c r="A1204" s="315" t="s">
        <v>1234</v>
      </c>
      <c r="B1204" s="312" t="s">
        <v>1316</v>
      </c>
      <c r="C1204" s="18">
        <v>2</v>
      </c>
      <c r="D1204" s="246" t="s">
        <v>1473</v>
      </c>
      <c r="E1204" s="289">
        <v>0</v>
      </c>
      <c r="F1204" s="290" t="s">
        <v>825</v>
      </c>
      <c r="G1204" s="290">
        <v>3</v>
      </c>
      <c r="H1204" s="299">
        <f>G1204+H1203</f>
        <v>5</v>
      </c>
      <c r="I1204" s="291" t="s">
        <v>1338</v>
      </c>
      <c r="J1204" s="292" t="s">
        <v>1339</v>
      </c>
      <c r="K1204" s="250"/>
    </row>
    <row r="1205" spans="1:11">
      <c r="A1205" s="315" t="s">
        <v>1234</v>
      </c>
      <c r="B1205" s="312" t="s">
        <v>1316</v>
      </c>
      <c r="C1205" s="18">
        <v>3</v>
      </c>
      <c r="D1205" s="246" t="s">
        <v>1479</v>
      </c>
      <c r="E1205" s="289">
        <v>0</v>
      </c>
      <c r="F1205" s="290" t="s">
        <v>825</v>
      </c>
      <c r="G1205" s="290">
        <v>4</v>
      </c>
      <c r="H1205" s="299">
        <f t="shared" ref="H1205:H1216" si="58">G1205+H1204</f>
        <v>9</v>
      </c>
      <c r="I1205" s="291" t="s">
        <v>1286</v>
      </c>
      <c r="K1205" s="250"/>
    </row>
    <row r="1206" spans="1:11">
      <c r="A1206" s="315" t="s">
        <v>1234</v>
      </c>
      <c r="B1206" s="312" t="s">
        <v>1316</v>
      </c>
      <c r="C1206" s="18">
        <v>4</v>
      </c>
      <c r="D1206" s="246" t="s">
        <v>1477</v>
      </c>
      <c r="E1206" s="289">
        <v>0</v>
      </c>
      <c r="F1206" s="290" t="s">
        <v>825</v>
      </c>
      <c r="G1206" s="290">
        <v>8</v>
      </c>
      <c r="H1206" s="299">
        <f t="shared" si="58"/>
        <v>17</v>
      </c>
      <c r="I1206" s="291" t="s">
        <v>423</v>
      </c>
      <c r="K1206" s="250"/>
    </row>
    <row r="1207" spans="1:11" ht="157.5">
      <c r="A1207" s="315" t="s">
        <v>1234</v>
      </c>
      <c r="B1207" s="312" t="s">
        <v>1316</v>
      </c>
      <c r="C1207" s="18">
        <v>5</v>
      </c>
      <c r="D1207" s="246" t="s">
        <v>1475</v>
      </c>
      <c r="E1207" s="289">
        <v>0</v>
      </c>
      <c r="F1207" s="290" t="s">
        <v>825</v>
      </c>
      <c r="G1207" s="290">
        <v>2</v>
      </c>
      <c r="H1207" s="299">
        <f t="shared" si="58"/>
        <v>19</v>
      </c>
      <c r="I1207" s="246" t="s">
        <v>1344</v>
      </c>
      <c r="K1207" s="250"/>
    </row>
    <row r="1208" spans="1:11">
      <c r="A1208" s="315" t="s">
        <v>1234</v>
      </c>
      <c r="B1208" s="312" t="s">
        <v>1316</v>
      </c>
      <c r="C1208" s="18">
        <v>6</v>
      </c>
      <c r="D1208" s="246" t="s">
        <v>1480</v>
      </c>
      <c r="E1208" s="289">
        <v>0</v>
      </c>
      <c r="F1208" s="290" t="s">
        <v>825</v>
      </c>
      <c r="G1208" s="290">
        <v>8</v>
      </c>
      <c r="H1208" s="299">
        <f t="shared" si="58"/>
        <v>27</v>
      </c>
      <c r="I1208" s="246" t="s">
        <v>1352</v>
      </c>
      <c r="K1208" s="250"/>
    </row>
    <row r="1209" spans="1:11">
      <c r="A1209" s="315" t="s">
        <v>1234</v>
      </c>
      <c r="B1209" s="312" t="s">
        <v>1316</v>
      </c>
      <c r="C1209" s="18">
        <v>7</v>
      </c>
      <c r="D1209" s="246" t="s">
        <v>1481</v>
      </c>
      <c r="E1209" s="289">
        <v>0</v>
      </c>
      <c r="F1209" s="290" t="s">
        <v>1249</v>
      </c>
      <c r="G1209" s="290">
        <v>5</v>
      </c>
      <c r="H1209" s="299">
        <f t="shared" si="58"/>
        <v>32</v>
      </c>
      <c r="I1209" s="246" t="s">
        <v>1353</v>
      </c>
      <c r="K1209" s="250"/>
    </row>
    <row r="1210" spans="1:11">
      <c r="A1210" s="315" t="s">
        <v>1234</v>
      </c>
      <c r="B1210" s="312" t="s">
        <v>1316</v>
      </c>
      <c r="C1210" s="18">
        <v>8</v>
      </c>
      <c r="D1210" s="246" t="s">
        <v>1482</v>
      </c>
      <c r="E1210" s="289">
        <v>0</v>
      </c>
      <c r="F1210" s="290" t="s">
        <v>1249</v>
      </c>
      <c r="G1210" s="290">
        <v>5</v>
      </c>
      <c r="H1210" s="299">
        <f t="shared" si="58"/>
        <v>37</v>
      </c>
      <c r="I1210" s="246" t="s">
        <v>1354</v>
      </c>
      <c r="K1210" s="250"/>
    </row>
    <row r="1211" spans="1:11">
      <c r="A1211" s="315" t="s">
        <v>1234</v>
      </c>
      <c r="B1211" s="312" t="s">
        <v>1316</v>
      </c>
      <c r="C1211" s="18">
        <v>9</v>
      </c>
      <c r="D1211" s="246" t="s">
        <v>1483</v>
      </c>
      <c r="E1211" s="289">
        <v>1</v>
      </c>
      <c r="F1211" s="290" t="s">
        <v>824</v>
      </c>
      <c r="G1211" s="290">
        <v>6</v>
      </c>
      <c r="H1211" s="299">
        <f t="shared" si="58"/>
        <v>43</v>
      </c>
      <c r="I1211" s="246" t="s">
        <v>1355</v>
      </c>
      <c r="K1211" s="250"/>
    </row>
    <row r="1212" spans="1:11">
      <c r="A1212" s="315" t="s">
        <v>1234</v>
      </c>
      <c r="B1212" s="312" t="s">
        <v>1316</v>
      </c>
      <c r="C1212" s="18">
        <v>10</v>
      </c>
      <c r="D1212" s="246" t="s">
        <v>1484</v>
      </c>
      <c r="E1212" s="289">
        <v>1</v>
      </c>
      <c r="F1212" s="290" t="s">
        <v>824</v>
      </c>
      <c r="G1212" s="290">
        <v>6</v>
      </c>
      <c r="H1212" s="299">
        <f t="shared" si="58"/>
        <v>49</v>
      </c>
      <c r="I1212" s="246" t="s">
        <v>1356</v>
      </c>
      <c r="K1212" s="250"/>
    </row>
    <row r="1213" spans="1:11">
      <c r="A1213" s="315" t="s">
        <v>1234</v>
      </c>
      <c r="B1213" s="312" t="s">
        <v>1316</v>
      </c>
      <c r="C1213" s="18">
        <v>11</v>
      </c>
      <c r="D1213" s="246" t="s">
        <v>1485</v>
      </c>
      <c r="E1213" s="289">
        <v>0</v>
      </c>
      <c r="F1213" s="290" t="s">
        <v>1249</v>
      </c>
      <c r="G1213" s="290">
        <v>5</v>
      </c>
      <c r="H1213" s="299">
        <f t="shared" si="58"/>
        <v>54</v>
      </c>
      <c r="I1213" s="246" t="s">
        <v>1357</v>
      </c>
      <c r="K1213" s="250"/>
    </row>
    <row r="1214" spans="1:11">
      <c r="A1214" s="315" t="s">
        <v>1234</v>
      </c>
      <c r="B1214" s="312" t="s">
        <v>1316</v>
      </c>
      <c r="C1214" s="18">
        <v>12</v>
      </c>
      <c r="D1214" s="246" t="s">
        <v>1490</v>
      </c>
      <c r="E1214" s="289">
        <v>0</v>
      </c>
      <c r="F1214" s="290" t="s">
        <v>825</v>
      </c>
      <c r="G1214" s="290">
        <v>6</v>
      </c>
      <c r="H1214" s="299">
        <f t="shared" si="58"/>
        <v>60</v>
      </c>
      <c r="I1214" s="246" t="s">
        <v>1255</v>
      </c>
      <c r="K1214" s="250"/>
    </row>
    <row r="1215" spans="1:11">
      <c r="A1215" s="315" t="s">
        <v>1234</v>
      </c>
      <c r="B1215" s="312" t="s">
        <v>1316</v>
      </c>
      <c r="C1215" s="18">
        <v>13</v>
      </c>
      <c r="D1215" s="246" t="s">
        <v>1489</v>
      </c>
      <c r="E1215" s="289">
        <v>0</v>
      </c>
      <c r="F1215" s="290" t="s">
        <v>825</v>
      </c>
      <c r="G1215" s="290">
        <v>19</v>
      </c>
      <c r="H1215" s="299">
        <f t="shared" si="58"/>
        <v>79</v>
      </c>
      <c r="I1215" s="246" t="s">
        <v>1350</v>
      </c>
      <c r="K1215" s="250"/>
    </row>
    <row r="1216" spans="1:11">
      <c r="A1216" s="199" t="s">
        <v>1234</v>
      </c>
      <c r="B1216" s="312" t="s">
        <v>1316</v>
      </c>
      <c r="C1216" s="146">
        <v>14</v>
      </c>
      <c r="D1216" s="316" t="s">
        <v>1488</v>
      </c>
      <c r="E1216" s="301">
        <v>0</v>
      </c>
      <c r="F1216" s="302" t="s">
        <v>825</v>
      </c>
      <c r="G1216" s="302">
        <v>1</v>
      </c>
      <c r="H1216" s="299">
        <f t="shared" si="58"/>
        <v>80</v>
      </c>
      <c r="I1216" s="316" t="s">
        <v>1351</v>
      </c>
      <c r="K1216" s="250"/>
    </row>
    <row r="1217" spans="1:11">
      <c r="A1217" s="32" t="s">
        <v>1242</v>
      </c>
      <c r="B1217" s="245" t="s">
        <v>1322</v>
      </c>
      <c r="C1217" s="18">
        <v>1</v>
      </c>
      <c r="D1217" s="313" t="s">
        <v>1472</v>
      </c>
      <c r="E1217" s="289">
        <v>0</v>
      </c>
      <c r="F1217" s="290" t="s">
        <v>825</v>
      </c>
      <c r="G1217" s="290">
        <v>2</v>
      </c>
      <c r="H1217" s="249">
        <f>G1217</f>
        <v>2</v>
      </c>
      <c r="I1217" s="314" t="s">
        <v>1337</v>
      </c>
      <c r="J1217" s="314"/>
      <c r="K1217" s="250"/>
    </row>
    <row r="1218" spans="1:11">
      <c r="A1218" s="32" t="s">
        <v>1242</v>
      </c>
      <c r="B1218" s="245" t="s">
        <v>1322</v>
      </c>
      <c r="C1218" s="18">
        <v>2</v>
      </c>
      <c r="D1218" s="246" t="s">
        <v>1473</v>
      </c>
      <c r="E1218" s="289">
        <v>0</v>
      </c>
      <c r="F1218" s="290" t="s">
        <v>825</v>
      </c>
      <c r="G1218" s="290">
        <v>3</v>
      </c>
      <c r="H1218" s="249">
        <f>G1218+H1217</f>
        <v>5</v>
      </c>
      <c r="I1218" s="291" t="s">
        <v>1338</v>
      </c>
      <c r="J1218" s="292" t="s">
        <v>1339</v>
      </c>
      <c r="K1218" s="250"/>
    </row>
    <row r="1219" spans="1:11">
      <c r="A1219" s="32" t="s">
        <v>1242</v>
      </c>
      <c r="B1219" s="245" t="s">
        <v>1322</v>
      </c>
      <c r="C1219" s="18">
        <v>3</v>
      </c>
      <c r="D1219" s="246" t="s">
        <v>1479</v>
      </c>
      <c r="E1219" s="289">
        <v>0</v>
      </c>
      <c r="F1219" s="290" t="s">
        <v>825</v>
      </c>
      <c r="G1219" s="290">
        <v>4</v>
      </c>
      <c r="H1219" s="249">
        <f t="shared" ref="H1219:H1224" si="59">G1219+H1218</f>
        <v>9</v>
      </c>
      <c r="I1219" s="291" t="s">
        <v>1286</v>
      </c>
      <c r="K1219" s="250"/>
    </row>
    <row r="1220" spans="1:11">
      <c r="A1220" s="32" t="s">
        <v>1242</v>
      </c>
      <c r="B1220" s="245" t="s">
        <v>1322</v>
      </c>
      <c r="C1220" s="18">
        <v>4</v>
      </c>
      <c r="D1220" s="246" t="s">
        <v>1477</v>
      </c>
      <c r="E1220" s="289">
        <v>0</v>
      </c>
      <c r="F1220" s="290" t="s">
        <v>825</v>
      </c>
      <c r="G1220" s="290">
        <v>8</v>
      </c>
      <c r="H1220" s="249">
        <f t="shared" si="59"/>
        <v>17</v>
      </c>
      <c r="I1220" s="246" t="s">
        <v>1007</v>
      </c>
      <c r="K1220" s="250"/>
    </row>
    <row r="1221" spans="1:11">
      <c r="A1221" s="32" t="s">
        <v>1242</v>
      </c>
      <c r="B1221" s="245" t="s">
        <v>1322</v>
      </c>
      <c r="C1221" s="18">
        <v>5</v>
      </c>
      <c r="D1221" s="246" t="s">
        <v>1491</v>
      </c>
      <c r="E1221" s="289">
        <v>0</v>
      </c>
      <c r="F1221" s="290" t="s">
        <v>825</v>
      </c>
      <c r="G1221" s="290">
        <v>4</v>
      </c>
      <c r="H1221" s="249">
        <f t="shared" si="59"/>
        <v>21</v>
      </c>
      <c r="I1221" s="246" t="s">
        <v>1260</v>
      </c>
      <c r="K1221" s="250"/>
    </row>
    <row r="1222" spans="1:11">
      <c r="A1222" s="32" t="s">
        <v>1242</v>
      </c>
      <c r="B1222" s="245" t="s">
        <v>1322</v>
      </c>
      <c r="C1222" s="18">
        <v>6</v>
      </c>
      <c r="D1222" s="246" t="s">
        <v>1486</v>
      </c>
      <c r="E1222" s="289">
        <v>2</v>
      </c>
      <c r="F1222" s="298" t="s">
        <v>999</v>
      </c>
      <c r="G1222" s="290">
        <v>7</v>
      </c>
      <c r="H1222" s="249">
        <f t="shared" si="59"/>
        <v>28</v>
      </c>
      <c r="I1222" s="246">
        <v>999.99</v>
      </c>
      <c r="K1222" s="250"/>
    </row>
    <row r="1223" spans="1:11">
      <c r="A1223" s="32" t="s">
        <v>1242</v>
      </c>
      <c r="B1223" s="245" t="s">
        <v>1322</v>
      </c>
      <c r="C1223" s="18">
        <v>7</v>
      </c>
      <c r="D1223" s="246" t="s">
        <v>1487</v>
      </c>
      <c r="E1223" s="289">
        <v>0</v>
      </c>
      <c r="F1223" s="298" t="s">
        <v>1006</v>
      </c>
      <c r="G1223" s="290">
        <v>51</v>
      </c>
      <c r="H1223" s="249">
        <f t="shared" si="59"/>
        <v>79</v>
      </c>
      <c r="I1223" s="246" t="s">
        <v>1350</v>
      </c>
      <c r="K1223" s="250"/>
    </row>
    <row r="1224" spans="1:11">
      <c r="A1224" s="32" t="s">
        <v>1242</v>
      </c>
      <c r="B1224" s="245" t="s">
        <v>1322</v>
      </c>
      <c r="C1224" s="38">
        <v>8</v>
      </c>
      <c r="D1224" s="246" t="s">
        <v>1488</v>
      </c>
      <c r="E1224" s="289">
        <v>0</v>
      </c>
      <c r="F1224" s="302" t="s">
        <v>825</v>
      </c>
      <c r="G1224" s="290">
        <v>1</v>
      </c>
      <c r="H1224" s="249">
        <f t="shared" si="59"/>
        <v>80</v>
      </c>
      <c r="I1224" s="316" t="s">
        <v>1351</v>
      </c>
      <c r="K1224" s="250"/>
    </row>
  </sheetData>
  <sheetProtection formatCells="0" formatColumns="0" formatRows="0" insertColumns="0" insertRows="0" insertHyperlinks="0" deleteColumns="0" deleteRows="0" sort="0" autoFilter="0" pivotTables="0"/>
  <phoneticPr fontId="29" type="noConversion"/>
  <conditionalFormatting sqref="B3:C5 B461:B473 D461:D473 I422:I477 J7:J8 J36:J43 J117:J120 D226:D233 D236:D254 B225:B233 B236:B264 G255:G265 I239:I266 H236:H266 D255:E267 D269:E279 B281:B286 D281:E290 G305:G319 D303 D305:D320 H305:H320 I323:I338 H323:H340 H341:I356 B323:B356 D323:E356 D396:D415 J421:J491 E420:E511 D417:D440 G420:H510 J516:J537 J540:J564 J567:J572 J575:J580 J583:J594 E583:E594 I584:I593 H583:H595 B515:B581 J597:J613 E635:E645 I635:J645 H635:H646 E648:E664 J648:J664 H648:H665 J667:J678 H669:H679 E668:E678 E682:E692 J681:J692 D680 I680 H683:I693 D682:D693 I682 J695:J710 E696:E710 D696:D711 H697:I711 I696 J713:J747 E714:E747 H715:H748 D714:D722 I714:I722 B647:B795 J750:J794 E751:E794 H752:H795 D751:D759 I751:I759 J890:J891 E236:E253 G236:G253 G751:G794 G714:G747 G696:G710 G682:G692 G668:G678 G648:G664 G635:G645 G583:G594 G323:G356 G281:I290 G269:I279 G267:I267 F184:G185 F165:G169 F145:G157 F119:G120 F98:G99 F86:G87 F89:G89 F210:G210 F180:G180 F162:G162 F81:G84 B585:B596 H597:H614 G597:G613 D596:D614 G513:G514 E513 G511 H511:H514 F122:G131 J122:J130 B321 D321:E321 G321:H321 D375:D394">
    <cfRule type="expression" dxfId="1960" priority="2278">
      <formula>"="</formula>
    </cfRule>
  </conditionalFormatting>
  <conditionalFormatting sqref="B3:B5 B461:B473 D461:D473 B225:B233 D226:D233 B236:B264 D236:D267 E255:E267 D269:E279 B281:B286 D281:E290 B323:B356 D323:D356 D396:D415 D417:D440 B515:B581 D680 I680 I682:I693 D682:D693 D696:D711 I696:I711 D714:D722 I714:I722 B647:B795 D751:D759 I751:I759 B585:B596 D596:D614 D303:E303 D305:D321 B321 D375:D394">
    <cfRule type="expression" dxfId="1959" priority="2277">
      <formula>"="</formula>
    </cfRule>
  </conditionalFormatting>
  <conditionalFormatting sqref="I2:J2">
    <cfRule type="expression" dxfId="1958" priority="2276">
      <formula>"="</formula>
    </cfRule>
  </conditionalFormatting>
  <conditionalFormatting sqref="I3:J5">
    <cfRule type="expression" dxfId="1957" priority="2275">
      <formula>"="</formula>
    </cfRule>
  </conditionalFormatting>
  <conditionalFormatting sqref="B6 C9 E9 C17 C11 C13 C15">
    <cfRule type="expression" dxfId="1956" priority="2274">
      <formula>"="</formula>
    </cfRule>
  </conditionalFormatting>
  <conditionalFormatting sqref="B6">
    <cfRule type="expression" dxfId="1955" priority="2273">
      <formula>"="</formula>
    </cfRule>
  </conditionalFormatting>
  <conditionalFormatting sqref="C8 E7:E8 E17 H9:H17 H24 C10 C12 C14 C16 C20:C24">
    <cfRule type="expression" dxfId="1954" priority="2272">
      <formula>"="</formula>
    </cfRule>
  </conditionalFormatting>
  <conditionalFormatting sqref="I6:J6 J9 J13">
    <cfRule type="expression" dxfId="1953" priority="2271">
      <formula>"="</formula>
    </cfRule>
  </conditionalFormatting>
  <conditionalFormatting sqref="J10:J12 I18:J18 J14:J17 J20:J23">
    <cfRule type="expression" dxfId="1952" priority="2270">
      <formula>"="</formula>
    </cfRule>
  </conditionalFormatting>
  <conditionalFormatting sqref="I1:J1">
    <cfRule type="expression" dxfId="1951" priority="2268">
      <formula>"="</formula>
    </cfRule>
  </conditionalFormatting>
  <conditionalFormatting sqref="I1:J1">
    <cfRule type="expression" dxfId="1950" priority="2269">
      <formula>"="</formula>
    </cfRule>
  </conditionalFormatting>
  <conditionalFormatting sqref="G7:G17">
    <cfRule type="expression" dxfId="1949" priority="2267">
      <formula>"="</formula>
    </cfRule>
  </conditionalFormatting>
  <conditionalFormatting sqref="I9:I17">
    <cfRule type="expression" dxfId="1948" priority="2266">
      <formula>"="</formula>
    </cfRule>
  </conditionalFormatting>
  <conditionalFormatting sqref="E10:E16">
    <cfRule type="expression" dxfId="1947" priority="2265">
      <formula>"="</formula>
    </cfRule>
  </conditionalFormatting>
  <conditionalFormatting sqref="E34 J34">
    <cfRule type="expression" dxfId="1946" priority="2264">
      <formula>"="</formula>
    </cfRule>
  </conditionalFormatting>
  <conditionalFormatting sqref="E28:E33 C34">
    <cfRule type="expression" dxfId="1945" priority="2263">
      <formula>"="</formula>
    </cfRule>
  </conditionalFormatting>
  <conditionalFormatting sqref="I25:J25 J28:J33">
    <cfRule type="expression" dxfId="1944" priority="2262">
      <formula>"="</formula>
    </cfRule>
  </conditionalFormatting>
  <conditionalFormatting sqref="E44 J44 G44">
    <cfRule type="expression" dxfId="1943" priority="2261">
      <formula>"="</formula>
    </cfRule>
  </conditionalFormatting>
  <conditionalFormatting sqref="I35:J35">
    <cfRule type="expression" dxfId="1942" priority="2260">
      <formula>"="</formula>
    </cfRule>
  </conditionalFormatting>
  <conditionalFormatting sqref="E53 J53">
    <cfRule type="expression" dxfId="1941" priority="2259">
      <formula>"="</formula>
    </cfRule>
  </conditionalFormatting>
  <conditionalFormatting sqref="E48:E52">
    <cfRule type="expression" dxfId="1940" priority="2258">
      <formula>"="</formula>
    </cfRule>
  </conditionalFormatting>
  <conditionalFormatting sqref="I45:J45 J46:J52">
    <cfRule type="expression" dxfId="1939" priority="2257">
      <formula>"="</formula>
    </cfRule>
  </conditionalFormatting>
  <conditionalFormatting sqref="E67 J67 G67">
    <cfRule type="expression" dxfId="1938" priority="2256">
      <formula>"="</formula>
    </cfRule>
  </conditionalFormatting>
  <conditionalFormatting sqref="E57:E66 G55:G66">
    <cfRule type="expression" dxfId="1937" priority="2255">
      <formula>"="</formula>
    </cfRule>
  </conditionalFormatting>
  <conditionalFormatting sqref="I54:J54 J55:J66">
    <cfRule type="expression" dxfId="1936" priority="2254">
      <formula>"="</formula>
    </cfRule>
  </conditionalFormatting>
  <conditionalFormatting sqref="E77 I77:J77 G77">
    <cfRule type="expression" dxfId="1935" priority="2253">
      <formula>"="</formula>
    </cfRule>
  </conditionalFormatting>
  <conditionalFormatting sqref="E71 G71 G73:G76 E73:E76">
    <cfRule type="expression" dxfId="1934" priority="2252">
      <formula>"="</formula>
    </cfRule>
  </conditionalFormatting>
  <conditionalFormatting sqref="I68:J68 I71:J71 J69:J70 I73:J76">
    <cfRule type="expression" dxfId="1933" priority="2251">
      <formula>"="</formula>
    </cfRule>
  </conditionalFormatting>
  <conditionalFormatting sqref="G38:G43">
    <cfRule type="expression" dxfId="1932" priority="2241">
      <formula>"="</formula>
    </cfRule>
  </conditionalFormatting>
  <conditionalFormatting sqref="H38:H44">
    <cfRule type="expression" dxfId="1931" priority="2240">
      <formula>"="</formula>
    </cfRule>
  </conditionalFormatting>
  <conditionalFormatting sqref="B18 B20:B25 B28:B35 B45 B71 B48:B68 B73:B77">
    <cfRule type="expression" dxfId="1930" priority="2250">
      <formula>"="</formula>
    </cfRule>
  </conditionalFormatting>
  <conditionalFormatting sqref="I28:I34">
    <cfRule type="expression" dxfId="1929" priority="2243">
      <formula>"="</formula>
    </cfRule>
  </conditionalFormatting>
  <conditionalFormatting sqref="I21:I24">
    <cfRule type="expression" dxfId="1928" priority="2248">
      <formula>"="</formula>
    </cfRule>
  </conditionalFormatting>
  <conditionalFormatting sqref="B18 B20:B25 B28:B35 B45 B71 B48:B68 B73:B77">
    <cfRule type="expression" dxfId="1927" priority="2249">
      <formula>"="</formula>
    </cfRule>
  </conditionalFormatting>
  <conditionalFormatting sqref="E111:E114 G111:G114">
    <cfRule type="expression" dxfId="1926" priority="2223">
      <formula>"="</formula>
    </cfRule>
  </conditionalFormatting>
  <conditionalFormatting sqref="H28:H34">
    <cfRule type="expression" dxfId="1925" priority="2244">
      <formula>"="</formula>
    </cfRule>
  </conditionalFormatting>
  <conditionalFormatting sqref="B7:B17">
    <cfRule type="expression" dxfId="1924" priority="2247">
      <formula>"="</formula>
    </cfRule>
  </conditionalFormatting>
  <conditionalFormatting sqref="B7:B17">
    <cfRule type="expression" dxfId="1923" priority="2246">
      <formula>"="</formula>
    </cfRule>
  </conditionalFormatting>
  <conditionalFormatting sqref="G28:G34">
    <cfRule type="expression" dxfId="1922" priority="2245">
      <formula>"="</formula>
    </cfRule>
  </conditionalFormatting>
  <conditionalFormatting sqref="B38:B44">
    <cfRule type="expression" dxfId="1921" priority="2239">
      <formula>"="</formula>
    </cfRule>
  </conditionalFormatting>
  <conditionalFormatting sqref="E38:E43">
    <cfRule type="expression" dxfId="1920" priority="2242">
      <formula>"="</formula>
    </cfRule>
  </conditionalFormatting>
  <conditionalFormatting sqref="I56:I67">
    <cfRule type="expression" dxfId="1919" priority="2228">
      <formula>"="</formula>
    </cfRule>
  </conditionalFormatting>
  <conditionalFormatting sqref="B111:B115">
    <cfRule type="expression" dxfId="1918" priority="2218">
      <formula>"="</formula>
    </cfRule>
  </conditionalFormatting>
  <conditionalFormatting sqref="I38:I44">
    <cfRule type="expression" dxfId="1917" priority="2237">
      <formula>"="</formula>
    </cfRule>
  </conditionalFormatting>
  <conditionalFormatting sqref="B38:B44">
    <cfRule type="expression" dxfId="1916" priority="2238">
      <formula>"="</formula>
    </cfRule>
  </conditionalFormatting>
  <conditionalFormatting sqref="G48:G53">
    <cfRule type="expression" dxfId="1915" priority="2236">
      <formula>"="</formula>
    </cfRule>
  </conditionalFormatting>
  <conditionalFormatting sqref="B111:B115">
    <cfRule type="expression" dxfId="1914" priority="2219">
      <formula>"="</formula>
    </cfRule>
  </conditionalFormatting>
  <conditionalFormatting sqref="I48:I53">
    <cfRule type="expression" dxfId="1913" priority="2235">
      <formula>"="</formula>
    </cfRule>
  </conditionalFormatting>
  <conditionalFormatting sqref="C141 E99 E107 E115 E131 E157 E169 E185 E197 E206 E214 E222 E232 E254 G266 I99:J99 J107 I115:J115 J131 E141:F141 I141:J141 I157:J157 I169:J169 J185 I197:J197 J206 I214:J214 I232:J232 J254 I222:J222 G254 G232 G222 G214 G206 G197 G115 G107">
    <cfRule type="expression" dxfId="1912" priority="2234">
      <formula>"="</formula>
    </cfRule>
  </conditionalFormatting>
  <conditionalFormatting sqref="E119:E120 E135:F140 C132 E160:E162 E173:E184 E188:E196 E201:E205 E210:E213 E218:E221 E225:E231 E80:E96 E103:E106 G103:G106 G90:G96 G88 G85 G80 G225:G231 G218:G221 G211:G213 G201:G205 G188:G196 G181:G183 G173:G179 G164 G160:G161 E122:E130 E164:E168 E98">
    <cfRule type="expression" dxfId="1911" priority="2233">
      <formula>"="</formula>
    </cfRule>
  </conditionalFormatting>
  <conditionalFormatting sqref="I78:J78 I100:J100 I108:J108 I116:J116 I158:J158 I170:J170 I198:J198 I207:J207 I132:J132 I135:J140 I161:J162 J172:J184 I186:J186 I188:J188 J200:J205 I210:J213 I215:J215 I218:J221 I223:J223 I226:J229 J230 I231:J231 I233:J233 I236:J238 J239:J253 J101:J106 J160 J134 J79:J80 I190:J196 J189 J209 J217 J225 I164:J168 J163 I81:J97 J98">
    <cfRule type="expression" dxfId="1910" priority="2232">
      <formula>"="</formula>
    </cfRule>
  </conditionalFormatting>
  <conditionalFormatting sqref="B78 B80:B96 B107:B108 B98:B100">
    <cfRule type="expression" dxfId="1909" priority="2231">
      <formula>"="</formula>
    </cfRule>
  </conditionalFormatting>
  <conditionalFormatting sqref="B78 B80:B96 B107:B108 B98:B100">
    <cfRule type="expression" dxfId="1908" priority="2230">
      <formula>"="</formula>
    </cfRule>
  </conditionalFormatting>
  <conditionalFormatting sqref="H55:H67">
    <cfRule type="expression" dxfId="1907" priority="2229">
      <formula>"="</formula>
    </cfRule>
  </conditionalFormatting>
  <conditionalFormatting sqref="H81:H99">
    <cfRule type="expression" dxfId="1906" priority="2226">
      <formula>"="</formula>
    </cfRule>
  </conditionalFormatting>
  <conditionalFormatting sqref="H71 H73:H77">
    <cfRule type="expression" dxfId="1905" priority="2227">
      <formula>"="</formula>
    </cfRule>
  </conditionalFormatting>
  <conditionalFormatting sqref="H103:H107">
    <cfRule type="expression" dxfId="1904" priority="2225">
      <formula>"="</formula>
    </cfRule>
  </conditionalFormatting>
  <conditionalFormatting sqref="H173:H185">
    <cfRule type="expression" dxfId="1903" priority="2212">
      <formula>"="</formula>
    </cfRule>
  </conditionalFormatting>
  <conditionalFormatting sqref="I111:I114">
    <cfRule type="expression" dxfId="1902" priority="2220">
      <formula>"="</formula>
    </cfRule>
  </conditionalFormatting>
  <conditionalFormatting sqref="I103:I107">
    <cfRule type="expression" dxfId="1901" priority="2224">
      <formula>"="</formula>
    </cfRule>
  </conditionalFormatting>
  <conditionalFormatting sqref="J109:J114">
    <cfRule type="expression" dxfId="1900" priority="2222">
      <formula>"="</formula>
    </cfRule>
  </conditionalFormatting>
  <conditionalFormatting sqref="H111:H115">
    <cfRule type="expression" dxfId="1899" priority="2221">
      <formula>"="</formula>
    </cfRule>
  </conditionalFormatting>
  <conditionalFormatting sqref="I201:I206">
    <cfRule type="expression" dxfId="1898" priority="2208">
      <formula>"="</formula>
    </cfRule>
  </conditionalFormatting>
  <conditionalFormatting sqref="H119:H120 H122:H131">
    <cfRule type="expression" dxfId="1897" priority="2217">
      <formula>"="</formula>
    </cfRule>
  </conditionalFormatting>
  <conditionalFormatting sqref="G135:G141">
    <cfRule type="expression" dxfId="1896" priority="2216">
      <formula>"="</formula>
    </cfRule>
  </conditionalFormatting>
  <conditionalFormatting sqref="H218:H222">
    <cfRule type="expression" dxfId="1895" priority="2206">
      <formula>"="</formula>
    </cfRule>
  </conditionalFormatting>
  <conditionalFormatting sqref="H135:H141">
    <cfRule type="expression" dxfId="1894" priority="2215">
      <formula>"="</formula>
    </cfRule>
  </conditionalFormatting>
  <conditionalFormatting sqref="H145:H157">
    <cfRule type="expression" dxfId="1893" priority="2214">
      <formula>"="</formula>
    </cfRule>
  </conditionalFormatting>
  <conditionalFormatting sqref="E320 J320 G320">
    <cfRule type="expression" dxfId="1892" priority="2205">
      <formula>"="</formula>
    </cfRule>
  </conditionalFormatting>
  <conditionalFormatting sqref="H161:H162 H164:H169">
    <cfRule type="expression" dxfId="1891" priority="2213">
      <formula>"="</formula>
    </cfRule>
  </conditionalFormatting>
  <conditionalFormatting sqref="I173:I185">
    <cfRule type="expression" dxfId="1890" priority="2211">
      <formula>"="</formula>
    </cfRule>
  </conditionalFormatting>
  <conditionalFormatting sqref="E411 G419 E538 E565 J565 J411 J419 J538 G565 G538">
    <cfRule type="expression" dxfId="1889" priority="2203">
      <formula>"="</formula>
    </cfRule>
  </conditionalFormatting>
  <conditionalFormatting sqref="H189:H197">
    <cfRule type="expression" dxfId="1888" priority="2210">
      <formula>"="</formula>
    </cfRule>
  </conditionalFormatting>
  <conditionalFormatting sqref="H201:H206">
    <cfRule type="expression" dxfId="1887" priority="2209">
      <formula>"="</formula>
    </cfRule>
  </conditionalFormatting>
  <conditionalFormatting sqref="I393:J393 I412:J412 I515:J515 J414:J418 J395:J410">
    <cfRule type="expression" dxfId="1886" priority="2202">
      <formula>"="</formula>
    </cfRule>
  </conditionalFormatting>
  <conditionalFormatting sqref="H210:H214">
    <cfRule type="expression" dxfId="1885" priority="2207">
      <formula>"="</formula>
    </cfRule>
  </conditionalFormatting>
  <conditionalFormatting sqref="E573 E581 E595 E614 J573 J581 J595 J614 G614 G595 G581 G573">
    <cfRule type="expression" dxfId="1884" priority="2201">
      <formula>"="</formula>
    </cfRule>
  </conditionalFormatting>
  <conditionalFormatting sqref="I566:J566 I574:J574 I582:J582 I596:J596">
    <cfRule type="expression" dxfId="1883" priority="2198">
      <formula>"="</formula>
    </cfRule>
  </conditionalFormatting>
  <conditionalFormatting sqref="I303:J303 J305:J319">
    <cfRule type="expression" dxfId="1882" priority="2204">
      <formula>"="</formula>
    </cfRule>
  </conditionalFormatting>
  <conditionalFormatting sqref="E567 E575 E569:E572 E577:E580">
    <cfRule type="expression" dxfId="1881" priority="2200">
      <formula>"="</formula>
    </cfRule>
  </conditionalFormatting>
  <conditionalFormatting sqref="B269:B276">
    <cfRule type="expression" dxfId="1880" priority="2199">
      <formula>"="</formula>
    </cfRule>
  </conditionalFormatting>
  <conditionalFormatting sqref="E646 E665 E679 E693 J646 J665 J679 J693 G693 G679 G665 G646">
    <cfRule type="expression" dxfId="1879" priority="2197">
      <formula>"="</formula>
    </cfRule>
  </conditionalFormatting>
  <conditionalFormatting sqref="I634:J634 J666 J680">
    <cfRule type="expression" dxfId="1878" priority="2196">
      <formula>"="</formula>
    </cfRule>
  </conditionalFormatting>
  <conditionalFormatting sqref="H226:H232">
    <cfRule type="expression" dxfId="1877" priority="2195">
      <formula>"="</formula>
    </cfRule>
  </conditionalFormatting>
  <conditionalFormatting sqref="H516:H538">
    <cfRule type="expression" dxfId="1876" priority="2190">
      <formula>"="</formula>
    </cfRule>
  </conditionalFormatting>
  <conditionalFormatting sqref="G540 G542:G564">
    <cfRule type="expression" dxfId="1875" priority="2187">
      <formula>"="</formula>
    </cfRule>
  </conditionalFormatting>
  <conditionalFormatting sqref="H415 H417:H419">
    <cfRule type="expression" dxfId="1874" priority="2193">
      <formula>"="</formula>
    </cfRule>
  </conditionalFormatting>
  <conditionalFormatting sqref="G414:G415 G417:G418">
    <cfRule type="expression" dxfId="1873" priority="2194">
      <formula>"="</formula>
    </cfRule>
  </conditionalFormatting>
  <conditionalFormatting sqref="I414:I415 I417">
    <cfRule type="expression" dxfId="1872" priority="2192">
      <formula>"="</formula>
    </cfRule>
  </conditionalFormatting>
  <conditionalFormatting sqref="D537">
    <cfRule type="expression" dxfId="1871" priority="2191">
      <formula>"="</formula>
    </cfRule>
  </conditionalFormatting>
  <conditionalFormatting sqref="I518:I537">
    <cfRule type="expression" dxfId="1870" priority="2189">
      <formula>"="</formula>
    </cfRule>
  </conditionalFormatting>
  <conditionalFormatting sqref="I516">
    <cfRule type="expression" dxfId="1869" priority="2188">
      <formula>"="</formula>
    </cfRule>
  </conditionalFormatting>
  <conditionalFormatting sqref="H540:H565">
    <cfRule type="expression" dxfId="1868" priority="2186">
      <formula>"="</formula>
    </cfRule>
  </conditionalFormatting>
  <conditionalFormatting sqref="G567 G569:G572">
    <cfRule type="expression" dxfId="1867" priority="2185">
      <formula>"="</formula>
    </cfRule>
  </conditionalFormatting>
  <conditionalFormatting sqref="H567:H573">
    <cfRule type="expression" dxfId="1866" priority="2184">
      <formula>"="</formula>
    </cfRule>
  </conditionalFormatting>
  <conditionalFormatting sqref="I569:I572">
    <cfRule type="expression" dxfId="1865" priority="2183">
      <formula>"="</formula>
    </cfRule>
  </conditionalFormatting>
  <conditionalFormatting sqref="G575 G577:G580">
    <cfRule type="expression" dxfId="1864" priority="2182">
      <formula>"="</formula>
    </cfRule>
  </conditionalFormatting>
  <conditionalFormatting sqref="H575:H581">
    <cfRule type="expression" dxfId="1863" priority="2181">
      <formula>"="</formula>
    </cfRule>
  </conditionalFormatting>
  <conditionalFormatting sqref="I580">
    <cfRule type="expression" dxfId="1862" priority="2180">
      <formula>"="</formula>
    </cfRule>
  </conditionalFormatting>
  <conditionalFormatting sqref="I577:I579">
    <cfRule type="expression" dxfId="1861" priority="2179">
      <formula>"="</formula>
    </cfRule>
  </conditionalFormatting>
  <conditionalFormatting sqref="D594">
    <cfRule type="expression" dxfId="1860" priority="2178">
      <formula>"="</formula>
    </cfRule>
  </conditionalFormatting>
  <conditionalFormatting sqref="I594">
    <cfRule type="expression" dxfId="1859" priority="2177">
      <formula>"="</formula>
    </cfRule>
  </conditionalFormatting>
  <conditionalFormatting sqref="E711 E888 J711 J888 G888 G711">
    <cfRule type="expression" dxfId="1858" priority="2176">
      <formula>"="</formula>
    </cfRule>
  </conditionalFormatting>
  <conditionalFormatting sqref="J694">
    <cfRule type="expression" dxfId="1857" priority="2175">
      <formula>"="</formula>
    </cfRule>
  </conditionalFormatting>
  <conditionalFormatting sqref="E748 J748 G748">
    <cfRule type="expression" dxfId="1856" priority="2174">
      <formula>"="</formula>
    </cfRule>
  </conditionalFormatting>
  <conditionalFormatting sqref="J712">
    <cfRule type="expression" dxfId="1855" priority="2173">
      <formula>"="</formula>
    </cfRule>
  </conditionalFormatting>
  <conditionalFormatting sqref="E795 J795 G795">
    <cfRule type="expression" dxfId="1854" priority="2172">
      <formula>"="</formula>
    </cfRule>
  </conditionalFormatting>
  <conditionalFormatting sqref="J749">
    <cfRule type="expression" dxfId="1853" priority="2171">
      <formula>"="</formula>
    </cfRule>
  </conditionalFormatting>
  <conditionalFormatting sqref="B891:B901">
    <cfRule type="expression" dxfId="1852" priority="2170">
      <formula>"="</formula>
    </cfRule>
  </conditionalFormatting>
  <conditionalFormatting sqref="B891:B901">
    <cfRule type="expression" dxfId="1851" priority="2169">
      <formula>"="</formula>
    </cfRule>
  </conditionalFormatting>
  <conditionalFormatting sqref="E901 J901 G901">
    <cfRule type="expression" dxfId="1850" priority="2168">
      <formula>"="</formula>
    </cfRule>
  </conditionalFormatting>
  <conditionalFormatting sqref="E891:E900">
    <cfRule type="expression" dxfId="1849" priority="2167">
      <formula>"="</formula>
    </cfRule>
  </conditionalFormatting>
  <conditionalFormatting sqref="J892:J900 J889:J890">
    <cfRule type="expression" dxfId="1848" priority="2166">
      <formula>"="</formula>
    </cfRule>
  </conditionalFormatting>
  <conditionalFormatting sqref="B904:B916">
    <cfRule type="expression" dxfId="1847" priority="2165">
      <formula>"="</formula>
    </cfRule>
  </conditionalFormatting>
  <conditionalFormatting sqref="B904:B916">
    <cfRule type="expression" dxfId="1846" priority="2164">
      <formula>"="</formula>
    </cfRule>
  </conditionalFormatting>
  <conditionalFormatting sqref="E916 J916">
    <cfRule type="expression" dxfId="1845" priority="2163">
      <formula>"="</formula>
    </cfRule>
  </conditionalFormatting>
  <conditionalFormatting sqref="E904:E915">
    <cfRule type="expression" dxfId="1844" priority="2162">
      <formula>"="</formula>
    </cfRule>
  </conditionalFormatting>
  <conditionalFormatting sqref="J902 J904:J912 I913:J915">
    <cfRule type="expression" dxfId="1843" priority="2161">
      <formula>"="</formula>
    </cfRule>
  </conditionalFormatting>
  <conditionalFormatting sqref="G879:G887">
    <cfRule type="expression" dxfId="1842" priority="2160">
      <formula>"="</formula>
    </cfRule>
  </conditionalFormatting>
  <conditionalFormatting sqref="H880:H888">
    <cfRule type="expression" dxfId="1841" priority="2159">
      <formula>"="</formula>
    </cfRule>
  </conditionalFormatting>
  <conditionalFormatting sqref="G891:G900">
    <cfRule type="expression" dxfId="1840" priority="2158">
      <formula>"="</formula>
    </cfRule>
  </conditionalFormatting>
  <conditionalFormatting sqref="H892:H901">
    <cfRule type="expression" dxfId="1839" priority="2157">
      <formula>"="</formula>
    </cfRule>
  </conditionalFormatting>
  <conditionalFormatting sqref="G904:G916">
    <cfRule type="expression" dxfId="1838" priority="2156">
      <formula>"="</formula>
    </cfRule>
  </conditionalFormatting>
  <conditionalFormatting sqref="H905:H916">
    <cfRule type="expression" dxfId="1837" priority="2155">
      <formula>"="</formula>
    </cfRule>
  </conditionalFormatting>
  <conditionalFormatting sqref="B514">
    <cfRule type="expression" dxfId="1836" priority="2154">
      <formula>"="</formula>
    </cfRule>
  </conditionalFormatting>
  <conditionalFormatting sqref="B514">
    <cfRule type="expression" dxfId="1835" priority="2153">
      <formula>"="</formula>
    </cfRule>
  </conditionalFormatting>
  <conditionalFormatting sqref="J514">
    <cfRule type="expression" dxfId="1834" priority="2152">
      <formula>"="</formula>
    </cfRule>
  </conditionalFormatting>
  <conditionalFormatting sqref="E514">
    <cfRule type="expression" dxfId="1833" priority="2151">
      <formula>"="</formula>
    </cfRule>
  </conditionalFormatting>
  <conditionalFormatting sqref="I420:J420">
    <cfRule type="expression" dxfId="1832" priority="2148">
      <formula>"="</formula>
    </cfRule>
  </conditionalFormatting>
  <conditionalFormatting sqref="B420">
    <cfRule type="expression" dxfId="1831" priority="2150">
      <formula>"="</formula>
    </cfRule>
  </conditionalFormatting>
  <conditionalFormatting sqref="B420">
    <cfRule type="expression" dxfId="1830" priority="2149">
      <formula>"="</formula>
    </cfRule>
  </conditionalFormatting>
  <conditionalFormatting sqref="B421">
    <cfRule type="expression" dxfId="1829" priority="2147">
      <formula>"="</formula>
    </cfRule>
  </conditionalFormatting>
  <conditionalFormatting sqref="B421">
    <cfRule type="expression" dxfId="1828" priority="2146">
      <formula>"="</formula>
    </cfRule>
  </conditionalFormatting>
  <conditionalFormatting sqref="I421">
    <cfRule type="expression" dxfId="1827" priority="2145">
      <formula>"="</formula>
    </cfRule>
  </conditionalFormatting>
  <conditionalFormatting sqref="B265">
    <cfRule type="expression" dxfId="1826" priority="2143">
      <formula>"="</formula>
    </cfRule>
  </conditionalFormatting>
  <conditionalFormatting sqref="B265">
    <cfRule type="expression" dxfId="1825" priority="2142">
      <formula>"="</formula>
    </cfRule>
  </conditionalFormatting>
  <conditionalFormatting sqref="J19">
    <cfRule type="expression" dxfId="1824" priority="2141">
      <formula>"="</formula>
    </cfRule>
  </conditionalFormatting>
  <conditionalFormatting sqref="B19">
    <cfRule type="expression" dxfId="1823" priority="2140">
      <formula>"="</formula>
    </cfRule>
  </conditionalFormatting>
  <conditionalFormatting sqref="B19">
    <cfRule type="expression" dxfId="1822" priority="2139">
      <formula>"="</formula>
    </cfRule>
  </conditionalFormatting>
  <conditionalFormatting sqref="E26">
    <cfRule type="expression" dxfId="1821" priority="2138">
      <formula>"="</formula>
    </cfRule>
  </conditionalFormatting>
  <conditionalFormatting sqref="J26">
    <cfRule type="expression" dxfId="1820" priority="2137">
      <formula>"="</formula>
    </cfRule>
  </conditionalFormatting>
  <conditionalFormatting sqref="G26">
    <cfRule type="expression" dxfId="1819" priority="2136">
      <formula>"="</formula>
    </cfRule>
  </conditionalFormatting>
  <conditionalFormatting sqref="B267">
    <cfRule type="expression" dxfId="1818" priority="2133">
      <formula>"="</formula>
    </cfRule>
  </conditionalFormatting>
  <conditionalFormatting sqref="B26">
    <cfRule type="expression" dxfId="1817" priority="2135">
      <formula>"="</formula>
    </cfRule>
  </conditionalFormatting>
  <conditionalFormatting sqref="B26">
    <cfRule type="expression" dxfId="1816" priority="2134">
      <formula>"="</formula>
    </cfRule>
  </conditionalFormatting>
  <conditionalFormatting sqref="B267">
    <cfRule type="expression" dxfId="1815" priority="2132">
      <formula>"="</formula>
    </cfRule>
  </conditionalFormatting>
  <conditionalFormatting sqref="B277:B278">
    <cfRule type="expression" dxfId="1814" priority="2131">
      <formula>"="</formula>
    </cfRule>
  </conditionalFormatting>
  <conditionalFormatting sqref="B277:B278">
    <cfRule type="expression" dxfId="1813" priority="2130">
      <formula>"="</formula>
    </cfRule>
  </conditionalFormatting>
  <conditionalFormatting sqref="B635">
    <cfRule type="expression" dxfId="1812" priority="2113">
      <formula>"="</formula>
    </cfRule>
  </conditionalFormatting>
  <conditionalFormatting sqref="B635">
    <cfRule type="expression" dxfId="1811" priority="2112">
      <formula>"="</formula>
    </cfRule>
  </conditionalFormatting>
  <conditionalFormatting sqref="B636">
    <cfRule type="expression" dxfId="1810" priority="2111">
      <formula>"="</formula>
    </cfRule>
  </conditionalFormatting>
  <conditionalFormatting sqref="B636">
    <cfRule type="expression" dxfId="1809" priority="2110">
      <formula>"="</formula>
    </cfRule>
  </conditionalFormatting>
  <conditionalFormatting sqref="B637">
    <cfRule type="expression" dxfId="1808" priority="2109">
      <formula>"="</formula>
    </cfRule>
  </conditionalFormatting>
  <conditionalFormatting sqref="B637">
    <cfRule type="expression" dxfId="1807" priority="2108">
      <formula>"="</formula>
    </cfRule>
  </conditionalFormatting>
  <conditionalFormatting sqref="B638">
    <cfRule type="expression" dxfId="1806" priority="2107">
      <formula>"="</formula>
    </cfRule>
  </conditionalFormatting>
  <conditionalFormatting sqref="B638">
    <cfRule type="expression" dxfId="1805" priority="2106">
      <formula>"="</formula>
    </cfRule>
  </conditionalFormatting>
  <conditionalFormatting sqref="B639">
    <cfRule type="expression" dxfId="1804" priority="2105">
      <formula>"="</formula>
    </cfRule>
  </conditionalFormatting>
  <conditionalFormatting sqref="B639">
    <cfRule type="expression" dxfId="1803" priority="2104">
      <formula>"="</formula>
    </cfRule>
  </conditionalFormatting>
  <conditionalFormatting sqref="B640">
    <cfRule type="expression" dxfId="1802" priority="2103">
      <formula>"="</formula>
    </cfRule>
  </conditionalFormatting>
  <conditionalFormatting sqref="B640">
    <cfRule type="expression" dxfId="1801" priority="2102">
      <formula>"="</formula>
    </cfRule>
  </conditionalFormatting>
  <conditionalFormatting sqref="B641">
    <cfRule type="expression" dxfId="1800" priority="2101">
      <formula>"="</formula>
    </cfRule>
  </conditionalFormatting>
  <conditionalFormatting sqref="B641">
    <cfRule type="expression" dxfId="1799" priority="2100">
      <formula>"="</formula>
    </cfRule>
  </conditionalFormatting>
  <conditionalFormatting sqref="B642">
    <cfRule type="expression" dxfId="1798" priority="2099">
      <formula>"="</formula>
    </cfRule>
  </conditionalFormatting>
  <conditionalFormatting sqref="B642">
    <cfRule type="expression" dxfId="1797" priority="2098">
      <formula>"="</formula>
    </cfRule>
  </conditionalFormatting>
  <conditionalFormatting sqref="B643">
    <cfRule type="expression" dxfId="1796" priority="2097">
      <formula>"="</formula>
    </cfRule>
  </conditionalFormatting>
  <conditionalFormatting sqref="B643">
    <cfRule type="expression" dxfId="1795" priority="2096">
      <formula>"="</formula>
    </cfRule>
  </conditionalFormatting>
  <conditionalFormatting sqref="B644">
    <cfRule type="expression" dxfId="1794" priority="2095">
      <formula>"="</formula>
    </cfRule>
  </conditionalFormatting>
  <conditionalFormatting sqref="B644">
    <cfRule type="expression" dxfId="1793" priority="2094">
      <formula>"="</formula>
    </cfRule>
  </conditionalFormatting>
  <conditionalFormatting sqref="B645">
    <cfRule type="expression" dxfId="1792" priority="2093">
      <formula>"="</formula>
    </cfRule>
  </conditionalFormatting>
  <conditionalFormatting sqref="B645">
    <cfRule type="expression" dxfId="1791" priority="2092">
      <formula>"="</formula>
    </cfRule>
  </conditionalFormatting>
  <conditionalFormatting sqref="B646">
    <cfRule type="expression" dxfId="1790" priority="2091">
      <formula>"="</formula>
    </cfRule>
  </conditionalFormatting>
  <conditionalFormatting sqref="B646">
    <cfRule type="expression" dxfId="1789" priority="2090">
      <formula>"="</formula>
    </cfRule>
  </conditionalFormatting>
  <conditionalFormatting sqref="H48:H53">
    <cfRule type="expression" dxfId="1788" priority="2055">
      <formula>"="</formula>
    </cfRule>
  </conditionalFormatting>
  <conditionalFormatting sqref="E392 J392 G392">
    <cfRule type="expression" dxfId="1787" priority="2043">
      <formula>"="</formula>
    </cfRule>
  </conditionalFormatting>
  <conditionalFormatting sqref="I375:J375 J377:J391">
    <cfRule type="expression" dxfId="1786" priority="2042">
      <formula>"="</formula>
    </cfRule>
  </conditionalFormatting>
  <conditionalFormatting sqref="G377:G391">
    <cfRule type="expression" dxfId="1785" priority="2041">
      <formula>"="</formula>
    </cfRule>
  </conditionalFormatting>
  <conditionalFormatting sqref="H378:H392">
    <cfRule type="expression" dxfId="1784" priority="2040">
      <formula>"="</formula>
    </cfRule>
  </conditionalFormatting>
  <conditionalFormatting sqref="I377 I379:I391">
    <cfRule type="expression" dxfId="1783" priority="2039">
      <formula>"="</formula>
    </cfRule>
  </conditionalFormatting>
  <conditionalFormatting sqref="J356">
    <cfRule type="expression" dxfId="1782" priority="2038">
      <formula>"="</formula>
    </cfRule>
  </conditionalFormatting>
  <conditionalFormatting sqref="I339:J339 J341:J355">
    <cfRule type="expression" dxfId="1781" priority="2037">
      <formula>"="</formula>
    </cfRule>
  </conditionalFormatting>
  <conditionalFormatting sqref="J338">
    <cfRule type="expression" dxfId="1780" priority="2036">
      <formula>"="</formula>
    </cfRule>
  </conditionalFormatting>
  <conditionalFormatting sqref="I321:J321 J323:J337">
    <cfRule type="expression" dxfId="1779" priority="2035">
      <formula>"="</formula>
    </cfRule>
  </conditionalFormatting>
  <conditionalFormatting sqref="B306">
    <cfRule type="expression" dxfId="1778" priority="2034">
      <formula>"="</formula>
    </cfRule>
  </conditionalFormatting>
  <conditionalFormatting sqref="B306">
    <cfRule type="expression" dxfId="1777" priority="2033">
      <formula>"="</formula>
    </cfRule>
  </conditionalFormatting>
  <conditionalFormatting sqref="B378">
    <cfRule type="expression" dxfId="1776" priority="2032">
      <formula>"="</formula>
    </cfRule>
  </conditionalFormatting>
  <conditionalFormatting sqref="B378">
    <cfRule type="expression" dxfId="1775" priority="2031">
      <formula>"="</formula>
    </cfRule>
  </conditionalFormatting>
  <conditionalFormatting sqref="B287:B289">
    <cfRule type="expression" dxfId="1774" priority="2030">
      <formula>"="</formula>
    </cfRule>
  </conditionalFormatting>
  <conditionalFormatting sqref="B287:B289">
    <cfRule type="expression" dxfId="1773" priority="2029">
      <formula>"="</formula>
    </cfRule>
  </conditionalFormatting>
  <conditionalFormatting sqref="B290">
    <cfRule type="expression" dxfId="1772" priority="2028">
      <formula>"="</formula>
    </cfRule>
  </conditionalFormatting>
  <conditionalFormatting sqref="B290">
    <cfRule type="expression" dxfId="1771" priority="2027">
      <formula>"="</formula>
    </cfRule>
  </conditionalFormatting>
  <conditionalFormatting sqref="I119:I120 I122:I131">
    <cfRule type="expression" dxfId="1770" priority="2024">
      <formula>"="</formula>
    </cfRule>
  </conditionalFormatting>
  <conditionalFormatting sqref="B307:B319">
    <cfRule type="expression" dxfId="1769" priority="2023">
      <formula>"="</formula>
    </cfRule>
  </conditionalFormatting>
  <conditionalFormatting sqref="B307:B319">
    <cfRule type="expression" dxfId="1768" priority="2022">
      <formula>"="</formula>
    </cfRule>
  </conditionalFormatting>
  <conditionalFormatting sqref="B379:B391">
    <cfRule type="expression" dxfId="1767" priority="2021">
      <formula>"="</formula>
    </cfRule>
  </conditionalFormatting>
  <conditionalFormatting sqref="B379:B391">
    <cfRule type="expression" dxfId="1766" priority="2020">
      <formula>"="</formula>
    </cfRule>
  </conditionalFormatting>
  <conditionalFormatting sqref="B422:B439">
    <cfRule type="expression" dxfId="1765" priority="2017">
      <formula>"="</formula>
    </cfRule>
  </conditionalFormatting>
  <conditionalFormatting sqref="B422:B439">
    <cfRule type="expression" dxfId="1764" priority="2016">
      <formula>"="</formula>
    </cfRule>
  </conditionalFormatting>
  <conditionalFormatting sqref="B440:B452">
    <cfRule type="expression" dxfId="1763" priority="2015">
      <formula>"="</formula>
    </cfRule>
  </conditionalFormatting>
  <conditionalFormatting sqref="B440:B452">
    <cfRule type="expression" dxfId="1762" priority="2014">
      <formula>"="</formula>
    </cfRule>
  </conditionalFormatting>
  <conditionalFormatting sqref="B453:B460">
    <cfRule type="expression" dxfId="1761" priority="2013">
      <formula>"="</formula>
    </cfRule>
  </conditionalFormatting>
  <conditionalFormatting sqref="B453:B460">
    <cfRule type="expression" dxfId="1760" priority="2012">
      <formula>"="</formula>
    </cfRule>
  </conditionalFormatting>
  <conditionalFormatting sqref="B474">
    <cfRule type="expression" dxfId="1759" priority="2011">
      <formula>"="</formula>
    </cfRule>
  </conditionalFormatting>
  <conditionalFormatting sqref="B474">
    <cfRule type="expression" dxfId="1758" priority="2010">
      <formula>"="</formula>
    </cfRule>
  </conditionalFormatting>
  <conditionalFormatting sqref="B475:B491">
    <cfRule type="expression" dxfId="1757" priority="2009">
      <formula>"="</formula>
    </cfRule>
  </conditionalFormatting>
  <conditionalFormatting sqref="B475:B491">
    <cfRule type="expression" dxfId="1756" priority="2008">
      <formula>"="</formula>
    </cfRule>
  </conditionalFormatting>
  <conditionalFormatting sqref="B492:B508">
    <cfRule type="expression" dxfId="1755" priority="2007">
      <formula>"="</formula>
    </cfRule>
  </conditionalFormatting>
  <conditionalFormatting sqref="B492:B508">
    <cfRule type="expression" dxfId="1754" priority="2006">
      <formula>"="</formula>
    </cfRule>
  </conditionalFormatting>
  <conditionalFormatting sqref="B509:B511 B513">
    <cfRule type="expression" dxfId="1753" priority="2005">
      <formula>"="</formula>
    </cfRule>
  </conditionalFormatting>
  <conditionalFormatting sqref="B509:B511 B513">
    <cfRule type="expression" dxfId="1752" priority="2004">
      <formula>"="</formula>
    </cfRule>
  </conditionalFormatting>
  <conditionalFormatting sqref="D2:D5">
    <cfRule type="expression" dxfId="1751" priority="2003">
      <formula>"="</formula>
    </cfRule>
  </conditionalFormatting>
  <conditionalFormatting sqref="F2:F5">
    <cfRule type="expression" dxfId="1750" priority="2002">
      <formula>"="</formula>
    </cfRule>
  </conditionalFormatting>
  <conditionalFormatting sqref="F6:F7">
    <cfRule type="expression" dxfId="1749" priority="2001">
      <formula>"="</formula>
    </cfRule>
  </conditionalFormatting>
  <conditionalFormatting sqref="F18">
    <cfRule type="expression" dxfId="1748" priority="2000">
      <formula>"="</formula>
    </cfRule>
  </conditionalFormatting>
  <conditionalFormatting sqref="F25:F26">
    <cfRule type="expression" dxfId="1747" priority="1999">
      <formula>"="</formula>
    </cfRule>
  </conditionalFormatting>
  <conditionalFormatting sqref="F8">
    <cfRule type="expression" dxfId="1746" priority="1998">
      <formula>"="</formula>
    </cfRule>
  </conditionalFormatting>
  <conditionalFormatting sqref="F68">
    <cfRule type="expression" dxfId="1745" priority="1993">
      <formula>"="</formula>
    </cfRule>
  </conditionalFormatting>
  <conditionalFormatting sqref="F35">
    <cfRule type="expression" dxfId="1744" priority="1997">
      <formula>"="</formula>
    </cfRule>
  </conditionalFormatting>
  <conditionalFormatting sqref="F132">
    <cfRule type="expression" dxfId="1743" priority="1987">
      <formula>"="</formula>
    </cfRule>
  </conditionalFormatting>
  <conditionalFormatting sqref="F45">
    <cfRule type="expression" dxfId="1742" priority="1996">
      <formula>"="</formula>
    </cfRule>
  </conditionalFormatting>
  <conditionalFormatting sqref="F116">
    <cfRule type="expression" dxfId="1741" priority="1988">
      <formula>"="</formula>
    </cfRule>
  </conditionalFormatting>
  <conditionalFormatting sqref="F54:F55">
    <cfRule type="expression" dxfId="1740" priority="1995">
      <formula>"="</formula>
    </cfRule>
  </conditionalFormatting>
  <conditionalFormatting sqref="F56">
    <cfRule type="expression" dxfId="1739" priority="1994">
      <formula>"="</formula>
    </cfRule>
  </conditionalFormatting>
  <conditionalFormatting sqref="F160">
    <cfRule type="expression" dxfId="1738" priority="1984">
      <formula>"="</formula>
    </cfRule>
  </conditionalFormatting>
  <conditionalFormatting sqref="F78">
    <cfRule type="expression" dxfId="1737" priority="1992">
      <formula>"="</formula>
    </cfRule>
  </conditionalFormatting>
  <conditionalFormatting sqref="F80">
    <cfRule type="expression" dxfId="1736" priority="1991">
      <formula>"="</formula>
    </cfRule>
  </conditionalFormatting>
  <conditionalFormatting sqref="F100">
    <cfRule type="expression" dxfId="1735" priority="1990">
      <formula>"="</formula>
    </cfRule>
  </conditionalFormatting>
  <conditionalFormatting sqref="F198">
    <cfRule type="expression" dxfId="1734" priority="1980">
      <formula>"="</formula>
    </cfRule>
  </conditionalFormatting>
  <conditionalFormatting sqref="F108">
    <cfRule type="expression" dxfId="1733" priority="1989">
      <formula>"="</formula>
    </cfRule>
  </conditionalFormatting>
  <conditionalFormatting sqref="F255:F256">
    <cfRule type="expression" dxfId="1732" priority="1974">
      <formula>"="</formula>
    </cfRule>
  </conditionalFormatting>
  <conditionalFormatting sqref="F598">
    <cfRule type="expression" dxfId="1731" priority="1954">
      <formula>"="</formula>
    </cfRule>
  </conditionalFormatting>
  <conditionalFormatting sqref="F233">
    <cfRule type="expression" dxfId="1730" priority="1975">
      <formula>"="</formula>
    </cfRule>
  </conditionalFormatting>
  <conditionalFormatting sqref="F142">
    <cfRule type="expression" dxfId="1729" priority="1986">
      <formula>"="</formula>
    </cfRule>
  </conditionalFormatting>
  <conditionalFormatting sqref="F158">
    <cfRule type="expression" dxfId="1728" priority="1985">
      <formula>"="</formula>
    </cfRule>
  </conditionalFormatting>
  <conditionalFormatting sqref="F170">
    <cfRule type="expression" dxfId="1727" priority="1983">
      <formula>"="</formula>
    </cfRule>
  </conditionalFormatting>
  <conditionalFormatting sqref="F186">
    <cfRule type="expression" dxfId="1726" priority="1982">
      <formula>"="</formula>
    </cfRule>
  </conditionalFormatting>
  <conditionalFormatting sqref="F188">
    <cfRule type="expression" dxfId="1725" priority="1981">
      <formula>"="</formula>
    </cfRule>
  </conditionalFormatting>
  <conditionalFormatting sqref="F412">
    <cfRule type="expression" dxfId="1724" priority="1965">
      <formula>"="</formula>
    </cfRule>
  </conditionalFormatting>
  <conditionalFormatting sqref="F207">
    <cfRule type="expression" dxfId="1723" priority="1979">
      <formula>"="</formula>
    </cfRule>
  </conditionalFormatting>
  <conditionalFormatting sqref="F636">
    <cfRule type="expression" dxfId="1722" priority="1952">
      <formula>"="</formula>
    </cfRule>
  </conditionalFormatting>
  <conditionalFormatting sqref="F215">
    <cfRule type="expression" dxfId="1721" priority="1978">
      <formula>"="</formula>
    </cfRule>
  </conditionalFormatting>
  <conditionalFormatting sqref="F10">
    <cfRule type="expression" dxfId="1720" priority="1926">
      <formula>"="</formula>
    </cfRule>
  </conditionalFormatting>
  <conditionalFormatting sqref="F223">
    <cfRule type="expression" dxfId="1719" priority="1977">
      <formula>"="</formula>
    </cfRule>
  </conditionalFormatting>
  <conditionalFormatting sqref="F225">
    <cfRule type="expression" dxfId="1718" priority="1976">
      <formula>"="</formula>
    </cfRule>
  </conditionalFormatting>
  <conditionalFormatting sqref="F257">
    <cfRule type="expression" dxfId="1717" priority="1973">
      <formula>"="</formula>
    </cfRule>
  </conditionalFormatting>
  <conditionalFormatting sqref="F305">
    <cfRule type="expression" dxfId="1716" priority="1972">
      <formula>"="</formula>
    </cfRule>
  </conditionalFormatting>
  <conditionalFormatting sqref="F375">
    <cfRule type="expression" dxfId="1715" priority="1969">
      <formula>"="</formula>
    </cfRule>
  </conditionalFormatting>
  <conditionalFormatting sqref="F377">
    <cfRule type="expression" dxfId="1714" priority="1968">
      <formula>"="</formula>
    </cfRule>
  </conditionalFormatting>
  <conditionalFormatting sqref="F712">
    <cfRule type="expression" dxfId="1713" priority="1941">
      <formula>"="</formula>
    </cfRule>
  </conditionalFormatting>
  <conditionalFormatting sqref="F539:F540">
    <cfRule type="expression" dxfId="1712" priority="1960">
      <formula>"="</formula>
    </cfRule>
  </conditionalFormatting>
  <conditionalFormatting sqref="F414">
    <cfRule type="expression" dxfId="1711" priority="1964">
      <formula>"="</formula>
    </cfRule>
  </conditionalFormatting>
  <conditionalFormatting sqref="F420:F421">
    <cfRule type="expression" dxfId="1710" priority="1963">
      <formula>"="</formula>
    </cfRule>
  </conditionalFormatting>
  <conditionalFormatting sqref="F422">
    <cfRule type="expression" dxfId="1709" priority="1962">
      <formula>"="</formula>
    </cfRule>
  </conditionalFormatting>
  <conditionalFormatting sqref="F515:F516">
    <cfRule type="expression" dxfId="1708" priority="1961">
      <formula>"="</formula>
    </cfRule>
  </conditionalFormatting>
  <conditionalFormatting sqref="F666">
    <cfRule type="expression" dxfId="1707" priority="1947">
      <formula>"="</formula>
    </cfRule>
  </conditionalFormatting>
  <conditionalFormatting sqref="F574:F575">
    <cfRule type="expression" dxfId="1706" priority="1958">
      <formula>"="</formula>
    </cfRule>
  </conditionalFormatting>
  <conditionalFormatting sqref="F566:F567">
    <cfRule type="expression" dxfId="1705" priority="1959">
      <formula>"="</formula>
    </cfRule>
  </conditionalFormatting>
  <conditionalFormatting sqref="F680">
    <cfRule type="expression" dxfId="1704" priority="1945">
      <formula>"="</formula>
    </cfRule>
  </conditionalFormatting>
  <conditionalFormatting sqref="F668">
    <cfRule type="expression" dxfId="1703" priority="1946">
      <formula>"="</formula>
    </cfRule>
  </conditionalFormatting>
  <conditionalFormatting sqref="F582:F583">
    <cfRule type="expression" dxfId="1702" priority="1957">
      <formula>"="</formula>
    </cfRule>
  </conditionalFormatting>
  <conditionalFormatting sqref="F584">
    <cfRule type="expression" dxfId="1701" priority="1956">
      <formula>"="</formula>
    </cfRule>
  </conditionalFormatting>
  <conditionalFormatting sqref="F596:F597">
    <cfRule type="expression" dxfId="1700" priority="1955">
      <formula>"="</formula>
    </cfRule>
  </conditionalFormatting>
  <conditionalFormatting sqref="F904">
    <cfRule type="expression" dxfId="1699" priority="1932">
      <formula>"="</formula>
    </cfRule>
  </conditionalFormatting>
  <conditionalFormatting sqref="F634:F635">
    <cfRule type="expression" dxfId="1698" priority="1953">
      <formula>"="</formula>
    </cfRule>
  </conditionalFormatting>
  <conditionalFormatting sqref="F647:F648">
    <cfRule type="expression" dxfId="1697" priority="1949">
      <formula>"="</formula>
    </cfRule>
  </conditionalFormatting>
  <conditionalFormatting sqref="F649">
    <cfRule type="expression" dxfId="1696" priority="1948">
      <formula>"="</formula>
    </cfRule>
  </conditionalFormatting>
  <conditionalFormatting sqref="F694">
    <cfRule type="expression" dxfId="1695" priority="1943">
      <formula>"="</formula>
    </cfRule>
  </conditionalFormatting>
  <conditionalFormatting sqref="F891">
    <cfRule type="expression" dxfId="1694" priority="1934">
      <formula>"="</formula>
    </cfRule>
  </conditionalFormatting>
  <conditionalFormatting sqref="F682">
    <cfRule type="expression" dxfId="1693" priority="1944">
      <formula>"="</formula>
    </cfRule>
  </conditionalFormatting>
  <conditionalFormatting sqref="F696">
    <cfRule type="expression" dxfId="1692" priority="1942">
      <formula>"="</formula>
    </cfRule>
  </conditionalFormatting>
  <conditionalFormatting sqref="F714">
    <cfRule type="expression" dxfId="1691" priority="1940">
      <formula>"="</formula>
    </cfRule>
  </conditionalFormatting>
  <conditionalFormatting sqref="F749">
    <cfRule type="expression" dxfId="1690" priority="1939">
      <formula>"="</formula>
    </cfRule>
  </conditionalFormatting>
  <conditionalFormatting sqref="F751">
    <cfRule type="expression" dxfId="1689" priority="1938">
      <formula>"="</formula>
    </cfRule>
  </conditionalFormatting>
  <conditionalFormatting sqref="F877">
    <cfRule type="expression" dxfId="1688" priority="1937">
      <formula>"="</formula>
    </cfRule>
  </conditionalFormatting>
  <conditionalFormatting sqref="F879">
    <cfRule type="expression" dxfId="1687" priority="1936">
      <formula>"="</formula>
    </cfRule>
  </conditionalFormatting>
  <conditionalFormatting sqref="F889">
    <cfRule type="expression" dxfId="1686" priority="1935">
      <formula>"="</formula>
    </cfRule>
  </conditionalFormatting>
  <conditionalFormatting sqref="F51">
    <cfRule type="expression" dxfId="1685" priority="1900">
      <formula>"="</formula>
    </cfRule>
  </conditionalFormatting>
  <conditionalFormatting sqref="F902">
    <cfRule type="expression" dxfId="1684" priority="1933">
      <formula>"="</formula>
    </cfRule>
  </conditionalFormatting>
  <conditionalFormatting sqref="D6">
    <cfRule type="expression" dxfId="1683" priority="1931">
      <formula>"="</formula>
    </cfRule>
  </conditionalFormatting>
  <conditionalFormatting sqref="D6">
    <cfRule type="expression" dxfId="1682" priority="1930">
      <formula>"="</formula>
    </cfRule>
  </conditionalFormatting>
  <conditionalFormatting sqref="D7 D9:D17">
    <cfRule type="expression" dxfId="1681" priority="1929">
      <formula>"="</formula>
    </cfRule>
  </conditionalFormatting>
  <conditionalFormatting sqref="D7 D9:D17">
    <cfRule type="expression" dxfId="1680" priority="1928">
      <formula>"="</formula>
    </cfRule>
  </conditionalFormatting>
  <conditionalFormatting sqref="F9">
    <cfRule type="expression" dxfId="1679" priority="1927">
      <formula>"="</formula>
    </cfRule>
  </conditionalFormatting>
  <conditionalFormatting sqref="F11">
    <cfRule type="expression" dxfId="1678" priority="1925">
      <formula>"="</formula>
    </cfRule>
  </conditionalFormatting>
  <conditionalFormatting sqref="F12">
    <cfRule type="expression" dxfId="1677" priority="1924">
      <formula>"="</formula>
    </cfRule>
  </conditionalFormatting>
  <conditionalFormatting sqref="F13">
    <cfRule type="expression" dxfId="1676" priority="1923">
      <formula>"="</formula>
    </cfRule>
  </conditionalFormatting>
  <conditionalFormatting sqref="F14">
    <cfRule type="expression" dxfId="1675" priority="1922">
      <formula>"="</formula>
    </cfRule>
  </conditionalFormatting>
  <conditionalFormatting sqref="F15:F17">
    <cfRule type="expression" dxfId="1674" priority="1921">
      <formula>"="</formula>
    </cfRule>
  </conditionalFormatting>
  <conditionalFormatting sqref="F21">
    <cfRule type="expression" dxfId="1673" priority="1920">
      <formula>"="</formula>
    </cfRule>
  </conditionalFormatting>
  <conditionalFormatting sqref="F22">
    <cfRule type="expression" dxfId="1672" priority="1919">
      <formula>"="</formula>
    </cfRule>
  </conditionalFormatting>
  <conditionalFormatting sqref="F23">
    <cfRule type="expression" dxfId="1671" priority="1918">
      <formula>"="</formula>
    </cfRule>
  </conditionalFormatting>
  <conditionalFormatting sqref="F24">
    <cfRule type="expression" dxfId="1670" priority="1917">
      <formula>"="</formula>
    </cfRule>
  </conditionalFormatting>
  <conditionalFormatting sqref="F28">
    <cfRule type="expression" dxfId="1669" priority="1916">
      <formula>"="</formula>
    </cfRule>
  </conditionalFormatting>
  <conditionalFormatting sqref="F29">
    <cfRule type="expression" dxfId="1668" priority="1915">
      <formula>"="</formula>
    </cfRule>
  </conditionalFormatting>
  <conditionalFormatting sqref="F30">
    <cfRule type="expression" dxfId="1667" priority="1914">
      <formula>"="</formula>
    </cfRule>
  </conditionalFormatting>
  <conditionalFormatting sqref="F31">
    <cfRule type="expression" dxfId="1666" priority="1913">
      <formula>"="</formula>
    </cfRule>
  </conditionalFormatting>
  <conditionalFormatting sqref="F32">
    <cfRule type="expression" dxfId="1665" priority="1912">
      <formula>"="</formula>
    </cfRule>
  </conditionalFormatting>
  <conditionalFormatting sqref="F33">
    <cfRule type="expression" dxfId="1664" priority="1911">
      <formula>"="</formula>
    </cfRule>
  </conditionalFormatting>
  <conditionalFormatting sqref="F34">
    <cfRule type="expression" dxfId="1663" priority="1910">
      <formula>"="</formula>
    </cfRule>
  </conditionalFormatting>
  <conditionalFormatting sqref="F38">
    <cfRule type="expression" dxfId="1662" priority="1909">
      <formula>"="</formula>
    </cfRule>
  </conditionalFormatting>
  <conditionalFormatting sqref="F39">
    <cfRule type="expression" dxfId="1661" priority="1908">
      <formula>"="</formula>
    </cfRule>
  </conditionalFormatting>
  <conditionalFormatting sqref="F40">
    <cfRule type="expression" dxfId="1660" priority="1907">
      <formula>"="</formula>
    </cfRule>
  </conditionalFormatting>
  <conditionalFormatting sqref="F41">
    <cfRule type="expression" dxfId="1659" priority="1906">
      <formula>"="</formula>
    </cfRule>
  </conditionalFormatting>
  <conditionalFormatting sqref="F42">
    <cfRule type="expression" dxfId="1658" priority="1905">
      <formula>"="</formula>
    </cfRule>
  </conditionalFormatting>
  <conditionalFormatting sqref="F43">
    <cfRule type="expression" dxfId="1657" priority="1904">
      <formula>"="</formula>
    </cfRule>
  </conditionalFormatting>
  <conditionalFormatting sqref="F44">
    <cfRule type="expression" dxfId="1656" priority="1903">
      <formula>"="</formula>
    </cfRule>
  </conditionalFormatting>
  <conditionalFormatting sqref="F53">
    <cfRule type="expression" dxfId="1655" priority="1902">
      <formula>"="</formula>
    </cfRule>
  </conditionalFormatting>
  <conditionalFormatting sqref="F52">
    <cfRule type="expression" dxfId="1654" priority="1901">
      <formula>"="</formula>
    </cfRule>
  </conditionalFormatting>
  <conditionalFormatting sqref="F49">
    <cfRule type="expression" dxfId="1653" priority="1899">
      <formula>"="</formula>
    </cfRule>
  </conditionalFormatting>
  <conditionalFormatting sqref="F50">
    <cfRule type="expression" dxfId="1652" priority="1898">
      <formula>"="</formula>
    </cfRule>
  </conditionalFormatting>
  <conditionalFormatting sqref="F48">
    <cfRule type="expression" dxfId="1651" priority="1897">
      <formula>"="</formula>
    </cfRule>
  </conditionalFormatting>
  <conditionalFormatting sqref="D18 D21:D24">
    <cfRule type="expression" dxfId="1650" priority="1896">
      <formula>"="</formula>
    </cfRule>
  </conditionalFormatting>
  <conditionalFormatting sqref="D18 D21:D24">
    <cfRule type="expression" dxfId="1649" priority="1895">
      <formula>"="</formula>
    </cfRule>
  </conditionalFormatting>
  <conditionalFormatting sqref="D25 D28:D34">
    <cfRule type="expression" dxfId="1648" priority="1894">
      <formula>"="</formula>
    </cfRule>
  </conditionalFormatting>
  <conditionalFormatting sqref="D25 D28:D34">
    <cfRule type="expression" dxfId="1647" priority="1893">
      <formula>"="</formula>
    </cfRule>
  </conditionalFormatting>
  <conditionalFormatting sqref="D26">
    <cfRule type="expression" dxfId="1646" priority="1892">
      <formula>"="</formula>
    </cfRule>
  </conditionalFormatting>
  <conditionalFormatting sqref="D26">
    <cfRule type="expression" dxfId="1645" priority="1891">
      <formula>"="</formula>
    </cfRule>
  </conditionalFormatting>
  <conditionalFormatting sqref="D35">
    <cfRule type="expression" dxfId="1644" priority="1890">
      <formula>"="</formula>
    </cfRule>
  </conditionalFormatting>
  <conditionalFormatting sqref="D35">
    <cfRule type="expression" dxfId="1643" priority="1889">
      <formula>"="</formula>
    </cfRule>
  </conditionalFormatting>
  <conditionalFormatting sqref="D38:D44">
    <cfRule type="expression" dxfId="1642" priority="1888">
      <formula>"="</formula>
    </cfRule>
  </conditionalFormatting>
  <conditionalFormatting sqref="D38:D44">
    <cfRule type="expression" dxfId="1641" priority="1887">
      <formula>"="</formula>
    </cfRule>
  </conditionalFormatting>
  <conditionalFormatting sqref="D45 D48:D53">
    <cfRule type="expression" dxfId="1640" priority="1886">
      <formula>"="</formula>
    </cfRule>
  </conditionalFormatting>
  <conditionalFormatting sqref="D45 D48:D53">
    <cfRule type="expression" dxfId="1639" priority="1885">
      <formula>"="</formula>
    </cfRule>
  </conditionalFormatting>
  <conditionalFormatting sqref="D54:D67">
    <cfRule type="expression" dxfId="1638" priority="1884">
      <formula>"="</formula>
    </cfRule>
  </conditionalFormatting>
  <conditionalFormatting sqref="D54:D67">
    <cfRule type="expression" dxfId="1637" priority="1883">
      <formula>"="</formula>
    </cfRule>
  </conditionalFormatting>
  <conditionalFormatting sqref="F57">
    <cfRule type="expression" dxfId="1636" priority="1882">
      <formula>"="</formula>
    </cfRule>
  </conditionalFormatting>
  <conditionalFormatting sqref="F62">
    <cfRule type="expression" dxfId="1635" priority="1881">
      <formula>"="</formula>
    </cfRule>
  </conditionalFormatting>
  <conditionalFormatting sqref="F64">
    <cfRule type="expression" dxfId="1634" priority="1880">
      <formula>"="</formula>
    </cfRule>
  </conditionalFormatting>
  <conditionalFormatting sqref="F66">
    <cfRule type="expression" dxfId="1633" priority="1879">
      <formula>"="</formula>
    </cfRule>
  </conditionalFormatting>
  <conditionalFormatting sqref="F67">
    <cfRule type="expression" dxfId="1632" priority="1878">
      <formula>"="</formula>
    </cfRule>
  </conditionalFormatting>
  <conditionalFormatting sqref="F58">
    <cfRule type="expression" dxfId="1631" priority="1877">
      <formula>"="</formula>
    </cfRule>
  </conditionalFormatting>
  <conditionalFormatting sqref="F59">
    <cfRule type="expression" dxfId="1630" priority="1876">
      <formula>"="</formula>
    </cfRule>
  </conditionalFormatting>
  <conditionalFormatting sqref="F60">
    <cfRule type="expression" dxfId="1629" priority="1875">
      <formula>"="</formula>
    </cfRule>
  </conditionalFormatting>
  <conditionalFormatting sqref="F61">
    <cfRule type="expression" dxfId="1628" priority="1874">
      <formula>"="</formula>
    </cfRule>
  </conditionalFormatting>
  <conditionalFormatting sqref="F63">
    <cfRule type="expression" dxfId="1627" priority="1873">
      <formula>"="</formula>
    </cfRule>
  </conditionalFormatting>
  <conditionalFormatting sqref="F65">
    <cfRule type="expression" dxfId="1626" priority="1872">
      <formula>"="</formula>
    </cfRule>
  </conditionalFormatting>
  <conditionalFormatting sqref="D68 D71 D73:D77">
    <cfRule type="expression" dxfId="1625" priority="1871">
      <formula>"="</formula>
    </cfRule>
  </conditionalFormatting>
  <conditionalFormatting sqref="D68 D71 D73:D77">
    <cfRule type="expression" dxfId="1624" priority="1870">
      <formula>"="</formula>
    </cfRule>
  </conditionalFormatting>
  <conditionalFormatting sqref="F71">
    <cfRule type="expression" dxfId="1623" priority="1869">
      <formula>"="</formula>
    </cfRule>
  </conditionalFormatting>
  <conditionalFormatting sqref="F73:F77">
    <cfRule type="expression" dxfId="1622" priority="1868">
      <formula>"="</formula>
    </cfRule>
  </conditionalFormatting>
  <conditionalFormatting sqref="D78 D81:D96 D98:D99">
    <cfRule type="expression" dxfId="1621" priority="1867">
      <formula>"="</formula>
    </cfRule>
  </conditionalFormatting>
  <conditionalFormatting sqref="D78 D81:D96 D98:D99">
    <cfRule type="expression" dxfId="1620" priority="1866">
      <formula>"="</formula>
    </cfRule>
  </conditionalFormatting>
  <conditionalFormatting sqref="F85">
    <cfRule type="expression" dxfId="1619" priority="1865">
      <formula>"="</formula>
    </cfRule>
  </conditionalFormatting>
  <conditionalFormatting sqref="F88">
    <cfRule type="expression" dxfId="1618" priority="1864">
      <formula>"="</formula>
    </cfRule>
  </conditionalFormatting>
  <conditionalFormatting sqref="F90">
    <cfRule type="expression" dxfId="1617" priority="1863">
      <formula>"="</formula>
    </cfRule>
  </conditionalFormatting>
  <conditionalFormatting sqref="F91">
    <cfRule type="expression" dxfId="1616" priority="1862">
      <formula>"="</formula>
    </cfRule>
  </conditionalFormatting>
  <conditionalFormatting sqref="F92">
    <cfRule type="expression" dxfId="1615" priority="1861">
      <formula>"="</formula>
    </cfRule>
  </conditionalFormatting>
  <conditionalFormatting sqref="F93">
    <cfRule type="expression" dxfId="1614" priority="1860">
      <formula>"="</formula>
    </cfRule>
  </conditionalFormatting>
  <conditionalFormatting sqref="F94">
    <cfRule type="expression" dxfId="1613" priority="1859">
      <formula>"="</formula>
    </cfRule>
  </conditionalFormatting>
  <conditionalFormatting sqref="F95">
    <cfRule type="expression" dxfId="1612" priority="1858">
      <formula>"="</formula>
    </cfRule>
  </conditionalFormatting>
  <conditionalFormatting sqref="F96">
    <cfRule type="expression" dxfId="1611" priority="1857">
      <formula>"="</formula>
    </cfRule>
  </conditionalFormatting>
  <conditionalFormatting sqref="D100 D103:D107">
    <cfRule type="expression" dxfId="1610" priority="1856">
      <formula>"="</formula>
    </cfRule>
  </conditionalFormatting>
  <conditionalFormatting sqref="D100 D103:D107">
    <cfRule type="expression" dxfId="1609" priority="1855">
      <formula>"="</formula>
    </cfRule>
  </conditionalFormatting>
  <conditionalFormatting sqref="F104:F105">
    <cfRule type="expression" dxfId="1608" priority="1854">
      <formula>"="</formula>
    </cfRule>
  </conditionalFormatting>
  <conditionalFormatting sqref="F103">
    <cfRule type="expression" dxfId="1607" priority="1853">
      <formula>"="</formula>
    </cfRule>
  </conditionalFormatting>
  <conditionalFormatting sqref="F106:F107">
    <cfRule type="expression" dxfId="1606" priority="1852">
      <formula>"="</formula>
    </cfRule>
  </conditionalFormatting>
  <conditionalFormatting sqref="F112:F113">
    <cfRule type="expression" dxfId="1605" priority="1851">
      <formula>"="</formula>
    </cfRule>
  </conditionalFormatting>
  <conditionalFormatting sqref="F111">
    <cfRule type="expression" dxfId="1604" priority="1850">
      <formula>"="</formula>
    </cfRule>
  </conditionalFormatting>
  <conditionalFormatting sqref="F114:F115">
    <cfRule type="expression" dxfId="1603" priority="1849">
      <formula>"="</formula>
    </cfRule>
  </conditionalFormatting>
  <conditionalFormatting sqref="D111:D115">
    <cfRule type="expression" dxfId="1602" priority="1845">
      <formula>"="</formula>
    </cfRule>
  </conditionalFormatting>
  <conditionalFormatting sqref="D111:D115">
    <cfRule type="expression" dxfId="1601" priority="1846">
      <formula>"="</formula>
    </cfRule>
  </conditionalFormatting>
  <conditionalFormatting sqref="D108">
    <cfRule type="expression" dxfId="1600" priority="1848">
      <formula>"="</formula>
    </cfRule>
  </conditionalFormatting>
  <conditionalFormatting sqref="D108">
    <cfRule type="expression" dxfId="1599" priority="1847">
      <formula>"="</formula>
    </cfRule>
  </conditionalFormatting>
  <conditionalFormatting sqref="J133">
    <cfRule type="expression" dxfId="1598" priority="1842">
      <formula>"="</formula>
    </cfRule>
  </conditionalFormatting>
  <conditionalFormatting sqref="J159">
    <cfRule type="expression" dxfId="1597" priority="1836">
      <formula>"="</formula>
    </cfRule>
  </conditionalFormatting>
  <conditionalFormatting sqref="J171">
    <cfRule type="expression" dxfId="1596" priority="1835">
      <formula>"="</formula>
    </cfRule>
  </conditionalFormatting>
  <conditionalFormatting sqref="D116 D119:D120 D122:D131">
    <cfRule type="expression" dxfId="1595" priority="1844">
      <formula>"="</formula>
    </cfRule>
  </conditionalFormatting>
  <conditionalFormatting sqref="J199">
    <cfRule type="expression" dxfId="1594" priority="1833">
      <formula>"="</formula>
    </cfRule>
  </conditionalFormatting>
  <conditionalFormatting sqref="J269:J270">
    <cfRule type="expression" dxfId="1593" priority="1823">
      <formula>"="</formula>
    </cfRule>
  </conditionalFormatting>
  <conditionalFormatting sqref="J279">
    <cfRule type="expression" dxfId="1592" priority="1818">
      <formula>"="</formula>
    </cfRule>
  </conditionalFormatting>
  <conditionalFormatting sqref="D116 D119:D120 D122:D131">
    <cfRule type="expression" dxfId="1591" priority="1843">
      <formula>"="</formula>
    </cfRule>
  </conditionalFormatting>
  <conditionalFormatting sqref="J256">
    <cfRule type="expression" dxfId="1590" priority="1830">
      <formula>"="</formula>
    </cfRule>
  </conditionalFormatting>
  <conditionalFormatting sqref="J143">
    <cfRule type="expression" dxfId="1589" priority="1841">
      <formula>"="</formula>
    </cfRule>
  </conditionalFormatting>
  <conditionalFormatting sqref="D132 D135:D141">
    <cfRule type="expression" dxfId="1588" priority="1840">
      <formula>"="</formula>
    </cfRule>
  </conditionalFormatting>
  <conditionalFormatting sqref="D132 D135:D141">
    <cfRule type="expression" dxfId="1587" priority="1839">
      <formula>"="</formula>
    </cfRule>
  </conditionalFormatting>
  <conditionalFormatting sqref="D142 D145:D146 D148:D157">
    <cfRule type="expression" dxfId="1586" priority="1838">
      <formula>"="</formula>
    </cfRule>
  </conditionalFormatting>
  <conditionalFormatting sqref="D142 D145:D146 D148:D157">
    <cfRule type="expression" dxfId="1585" priority="1837">
      <formula>"="</formula>
    </cfRule>
  </conditionalFormatting>
  <conditionalFormatting sqref="J265:J266">
    <cfRule type="expression" dxfId="1584" priority="1825">
      <formula>"="</formula>
    </cfRule>
  </conditionalFormatting>
  <conditionalFormatting sqref="J187">
    <cfRule type="expression" dxfId="1583" priority="1834">
      <formula>"="</formula>
    </cfRule>
  </conditionalFormatting>
  <conditionalFormatting sqref="J261:J262">
    <cfRule type="expression" dxfId="1582" priority="1827">
      <formula>"="</formula>
    </cfRule>
  </conditionalFormatting>
  <conditionalFormatting sqref="J208">
    <cfRule type="expression" dxfId="1581" priority="1832">
      <formula>"="</formula>
    </cfRule>
  </conditionalFormatting>
  <conditionalFormatting sqref="J216">
    <cfRule type="expression" dxfId="1580" priority="1831">
      <formula>"="</formula>
    </cfRule>
  </conditionalFormatting>
  <conditionalFormatting sqref="J289:J290">
    <cfRule type="expression" dxfId="1579" priority="1813">
      <formula>"="</formula>
    </cfRule>
  </conditionalFormatting>
  <conditionalFormatting sqref="J257:J258">
    <cfRule type="expression" dxfId="1578" priority="1829">
      <formula>"="</formula>
    </cfRule>
  </conditionalFormatting>
  <conditionalFormatting sqref="J259:J260">
    <cfRule type="expression" dxfId="1577" priority="1828">
      <formula>"="</formula>
    </cfRule>
  </conditionalFormatting>
  <conditionalFormatting sqref="J281:J282">
    <cfRule type="expression" dxfId="1576" priority="1817">
      <formula>"="</formula>
    </cfRule>
  </conditionalFormatting>
  <conditionalFormatting sqref="J263:J264">
    <cfRule type="expression" dxfId="1575" priority="1826">
      <formula>"="</formula>
    </cfRule>
  </conditionalFormatting>
  <conditionalFormatting sqref="J267">
    <cfRule type="expression" dxfId="1574" priority="1824">
      <formula>"="</formula>
    </cfRule>
  </conditionalFormatting>
  <conditionalFormatting sqref="J275:J276">
    <cfRule type="expression" dxfId="1573" priority="1820">
      <formula>"="</formula>
    </cfRule>
  </conditionalFormatting>
  <conditionalFormatting sqref="J271:J272">
    <cfRule type="expression" dxfId="1572" priority="1822">
      <formula>"="</formula>
    </cfRule>
  </conditionalFormatting>
  <conditionalFormatting sqref="J273:J274">
    <cfRule type="expression" dxfId="1571" priority="1821">
      <formula>"="</formula>
    </cfRule>
  </conditionalFormatting>
  <conditionalFormatting sqref="J277:J278">
    <cfRule type="expression" dxfId="1570" priority="1819">
      <formula>"="</formula>
    </cfRule>
  </conditionalFormatting>
  <conditionalFormatting sqref="J285:J286">
    <cfRule type="expression" dxfId="1569" priority="1815">
      <formula>"="</formula>
    </cfRule>
  </conditionalFormatting>
  <conditionalFormatting sqref="J283:J284">
    <cfRule type="expression" dxfId="1568" priority="1816">
      <formula>"="</formula>
    </cfRule>
  </conditionalFormatting>
  <conditionalFormatting sqref="J287:J288">
    <cfRule type="expression" dxfId="1567" priority="1814">
      <formula>"="</formula>
    </cfRule>
  </conditionalFormatting>
  <conditionalFormatting sqref="J376">
    <cfRule type="expression" dxfId="1566" priority="1811">
      <formula>"="</formula>
    </cfRule>
  </conditionalFormatting>
  <conditionalFormatting sqref="J340">
    <cfRule type="expression" dxfId="1565" priority="1812">
      <formula>"="</formula>
    </cfRule>
  </conditionalFormatting>
  <conditionalFormatting sqref="J394">
    <cfRule type="expression" dxfId="1564" priority="1808">
      <formula>"="</formula>
    </cfRule>
  </conditionalFormatting>
  <conditionalFormatting sqref="J413">
    <cfRule type="expression" dxfId="1563" priority="1807">
      <formula>"="</formula>
    </cfRule>
  </conditionalFormatting>
  <conditionalFormatting sqref="J878">
    <cfRule type="expression" dxfId="1562" priority="1806">
      <formula>"="</formula>
    </cfRule>
  </conditionalFormatting>
  <conditionalFormatting sqref="J903">
    <cfRule type="expression" dxfId="1561" priority="1805">
      <formula>"="</formula>
    </cfRule>
  </conditionalFormatting>
  <conditionalFormatting sqref="J903">
    <cfRule type="expression" dxfId="1560" priority="1804">
      <formula>"="</formula>
    </cfRule>
  </conditionalFormatting>
  <conditionalFormatting sqref="D158 D161:D162 D164:D169">
    <cfRule type="expression" dxfId="1559" priority="1803">
      <formula>"="</formula>
    </cfRule>
  </conditionalFormatting>
  <conditionalFormatting sqref="D158 D161:D162 D164:D169">
    <cfRule type="expression" dxfId="1558" priority="1802">
      <formula>"="</formula>
    </cfRule>
  </conditionalFormatting>
  <conditionalFormatting sqref="I160">
    <cfRule type="expression" dxfId="1557" priority="1801">
      <formula>"="</formula>
    </cfRule>
  </conditionalFormatting>
  <conditionalFormatting sqref="I80">
    <cfRule type="expression" dxfId="1556" priority="1800">
      <formula>"="</formula>
    </cfRule>
  </conditionalFormatting>
  <conditionalFormatting sqref="D170 D173:D185">
    <cfRule type="expression" dxfId="1555" priority="1799">
      <formula>"="</formula>
    </cfRule>
  </conditionalFormatting>
  <conditionalFormatting sqref="D170 D173:D185">
    <cfRule type="expression" dxfId="1554" priority="1798">
      <formula>"="</formula>
    </cfRule>
  </conditionalFormatting>
  <conditionalFormatting sqref="I189">
    <cfRule type="expression" dxfId="1553" priority="1797">
      <formula>"="</formula>
    </cfRule>
  </conditionalFormatting>
  <conditionalFormatting sqref="D186 D188:D197">
    <cfRule type="expression" dxfId="1552" priority="1796">
      <formula>"="</formula>
    </cfRule>
  </conditionalFormatting>
  <conditionalFormatting sqref="D186 D188:D197">
    <cfRule type="expression" dxfId="1551" priority="1795">
      <formula>"="</formula>
    </cfRule>
  </conditionalFormatting>
  <conditionalFormatting sqref="D198 D201:D206">
    <cfRule type="expression" dxfId="1550" priority="1794">
      <formula>"="</formula>
    </cfRule>
  </conditionalFormatting>
  <conditionalFormatting sqref="D198 D201:D206">
    <cfRule type="expression" dxfId="1549" priority="1793">
      <formula>"="</formula>
    </cfRule>
  </conditionalFormatting>
  <conditionalFormatting sqref="D207 D210:D214">
    <cfRule type="expression" dxfId="1548" priority="1792">
      <formula>"="</formula>
    </cfRule>
  </conditionalFormatting>
  <conditionalFormatting sqref="D207 D210:D214">
    <cfRule type="expression" dxfId="1547" priority="1791">
      <formula>"="</formula>
    </cfRule>
  </conditionalFormatting>
  <conditionalFormatting sqref="D215 D218:D222">
    <cfRule type="expression" dxfId="1546" priority="1790">
      <formula>"="</formula>
    </cfRule>
  </conditionalFormatting>
  <conditionalFormatting sqref="D215 D218:D222">
    <cfRule type="expression" dxfId="1545" priority="1789">
      <formula>"="</formula>
    </cfRule>
  </conditionalFormatting>
  <conditionalFormatting sqref="F187">
    <cfRule type="expression" dxfId="1544" priority="1788">
      <formula>"="</formula>
    </cfRule>
  </conditionalFormatting>
  <conditionalFormatting sqref="F79">
    <cfRule type="expression" dxfId="1543" priority="1787">
      <formula>"="</formula>
    </cfRule>
  </conditionalFormatting>
  <conditionalFormatting sqref="F201">
    <cfRule type="expression" dxfId="1542" priority="1786">
      <formula>"="</formula>
    </cfRule>
  </conditionalFormatting>
  <conditionalFormatting sqref="F202">
    <cfRule type="expression" dxfId="1541" priority="1785">
      <formula>"="</formula>
    </cfRule>
  </conditionalFormatting>
  <conditionalFormatting sqref="F203">
    <cfRule type="expression" dxfId="1540" priority="1784">
      <formula>"="</formula>
    </cfRule>
  </conditionalFormatting>
  <conditionalFormatting sqref="F204">
    <cfRule type="expression" dxfId="1539" priority="1783">
      <formula>"="</formula>
    </cfRule>
  </conditionalFormatting>
  <conditionalFormatting sqref="F205">
    <cfRule type="expression" dxfId="1538" priority="1782">
      <formula>"="</formula>
    </cfRule>
  </conditionalFormatting>
  <conditionalFormatting sqref="F218">
    <cfRule type="expression" dxfId="1537" priority="1781">
      <formula>"="</formula>
    </cfRule>
  </conditionalFormatting>
  <conditionalFormatting sqref="F221">
    <cfRule type="expression" dxfId="1536" priority="1780">
      <formula>"="</formula>
    </cfRule>
  </conditionalFormatting>
  <conditionalFormatting sqref="F222">
    <cfRule type="expression" dxfId="1535" priority="1779">
      <formula>"="</formula>
    </cfRule>
  </conditionalFormatting>
  <conditionalFormatting sqref="F211">
    <cfRule type="expression" dxfId="1534" priority="1778">
      <formula>"="</formula>
    </cfRule>
  </conditionalFormatting>
  <conditionalFormatting sqref="F212">
    <cfRule type="expression" dxfId="1533" priority="1777">
      <formula>"="</formula>
    </cfRule>
  </conditionalFormatting>
  <conditionalFormatting sqref="F220">
    <cfRule type="expression" dxfId="1532" priority="1776">
      <formula>"="</formula>
    </cfRule>
  </conditionalFormatting>
  <conditionalFormatting sqref="F219">
    <cfRule type="expression" dxfId="1531" priority="1775">
      <formula>"="</formula>
    </cfRule>
  </conditionalFormatting>
  <conditionalFormatting sqref="F228">
    <cfRule type="expression" dxfId="1530" priority="1774">
      <formula>"="</formula>
    </cfRule>
  </conditionalFormatting>
  <conditionalFormatting sqref="F230">
    <cfRule type="expression" dxfId="1529" priority="1773">
      <formula>"="</formula>
    </cfRule>
  </conditionalFormatting>
  <conditionalFormatting sqref="F227">
    <cfRule type="expression" dxfId="1528" priority="1772">
      <formula>"="</formula>
    </cfRule>
  </conditionalFormatting>
  <conditionalFormatting sqref="F229">
    <cfRule type="expression" dxfId="1527" priority="1771">
      <formula>"="</formula>
    </cfRule>
  </conditionalFormatting>
  <conditionalFormatting sqref="F231">
    <cfRule type="expression" dxfId="1526" priority="1770">
      <formula>"="</formula>
    </cfRule>
  </conditionalFormatting>
  <conditionalFormatting sqref="F232">
    <cfRule type="expression" dxfId="1525" priority="1769">
      <formula>"="</formula>
    </cfRule>
  </conditionalFormatting>
  <conditionalFormatting sqref="F213">
    <cfRule type="expression" dxfId="1524" priority="1768">
      <formula>"="</formula>
    </cfRule>
  </conditionalFormatting>
  <conditionalFormatting sqref="F214">
    <cfRule type="expression" dxfId="1523" priority="1767">
      <formula>"="</formula>
    </cfRule>
  </conditionalFormatting>
  <conditionalFormatting sqref="F206">
    <cfRule type="expression" dxfId="1522" priority="1766">
      <formula>"="</formula>
    </cfRule>
  </conditionalFormatting>
  <conditionalFormatting sqref="F196">
    <cfRule type="expression" dxfId="1521" priority="1765">
      <formula>"="</formula>
    </cfRule>
  </conditionalFormatting>
  <conditionalFormatting sqref="F197">
    <cfRule type="expression" dxfId="1520" priority="1764">
      <formula>"="</formula>
    </cfRule>
  </conditionalFormatting>
  <conditionalFormatting sqref="F193">
    <cfRule type="expression" dxfId="1519" priority="1763">
      <formula>"="</formula>
    </cfRule>
  </conditionalFormatting>
  <conditionalFormatting sqref="F191">
    <cfRule type="expression" dxfId="1518" priority="1762">
      <formula>"="</formula>
    </cfRule>
  </conditionalFormatting>
  <conditionalFormatting sqref="F190">
    <cfRule type="expression" dxfId="1517" priority="1761">
      <formula>"="</formula>
    </cfRule>
  </conditionalFormatting>
  <conditionalFormatting sqref="F194">
    <cfRule type="expression" dxfId="1516" priority="1760">
      <formula>"="</formula>
    </cfRule>
  </conditionalFormatting>
  <conditionalFormatting sqref="F195">
    <cfRule type="expression" dxfId="1515" priority="1759">
      <formula>"="</formula>
    </cfRule>
  </conditionalFormatting>
  <conditionalFormatting sqref="F192">
    <cfRule type="expression" dxfId="1514" priority="1758">
      <formula>"="</formula>
    </cfRule>
  </conditionalFormatting>
  <conditionalFormatting sqref="F189">
    <cfRule type="expression" dxfId="1513" priority="1757">
      <formula>"="</formula>
    </cfRule>
  </conditionalFormatting>
  <conditionalFormatting sqref="F182">
    <cfRule type="expression" dxfId="1512" priority="1756">
      <formula>"="</formula>
    </cfRule>
  </conditionalFormatting>
  <conditionalFormatting sqref="F183">
    <cfRule type="expression" dxfId="1511" priority="1755">
      <formula>"="</formula>
    </cfRule>
  </conditionalFormatting>
  <conditionalFormatting sqref="F179">
    <cfRule type="expression" dxfId="1510" priority="1754">
      <formula>"="</formula>
    </cfRule>
  </conditionalFormatting>
  <conditionalFormatting sqref="F177">
    <cfRule type="expression" dxfId="1509" priority="1753">
      <formula>"="</formula>
    </cfRule>
  </conditionalFormatting>
  <conditionalFormatting sqref="F178">
    <cfRule type="expression" dxfId="1508" priority="1752">
      <formula>"="</formula>
    </cfRule>
  </conditionalFormatting>
  <conditionalFormatting sqref="F174">
    <cfRule type="expression" dxfId="1507" priority="1751">
      <formula>"="</formula>
    </cfRule>
  </conditionalFormatting>
  <conditionalFormatting sqref="F176">
    <cfRule type="expression" dxfId="1506" priority="1750">
      <formula>"="</formula>
    </cfRule>
  </conditionalFormatting>
  <conditionalFormatting sqref="F181">
    <cfRule type="expression" dxfId="1505" priority="1749">
      <formula>"="</formula>
    </cfRule>
  </conditionalFormatting>
  <conditionalFormatting sqref="F175">
    <cfRule type="expression" dxfId="1504" priority="1748">
      <formula>"="</formula>
    </cfRule>
  </conditionalFormatting>
  <conditionalFormatting sqref="F173">
    <cfRule type="expression" dxfId="1503" priority="1747">
      <formula>"="</formula>
    </cfRule>
  </conditionalFormatting>
  <conditionalFormatting sqref="F164">
    <cfRule type="expression" dxfId="1502" priority="1746">
      <formula>"="</formula>
    </cfRule>
  </conditionalFormatting>
  <conditionalFormatting sqref="F161">
    <cfRule type="expression" dxfId="1501" priority="1745">
      <formula>"="</formula>
    </cfRule>
  </conditionalFormatting>
  <conditionalFormatting sqref="F236">
    <cfRule type="expression" dxfId="1500" priority="1744">
      <formula>"="</formula>
    </cfRule>
  </conditionalFormatting>
  <conditionalFormatting sqref="F237">
    <cfRule type="expression" dxfId="1499" priority="1743">
      <formula>"="</formula>
    </cfRule>
  </conditionalFormatting>
  <conditionalFormatting sqref="F238">
    <cfRule type="expression" dxfId="1498" priority="1742">
      <formula>"="</formula>
    </cfRule>
  </conditionalFormatting>
  <conditionalFormatting sqref="F239">
    <cfRule type="expression" dxfId="1497" priority="1741">
      <formula>"="</formula>
    </cfRule>
  </conditionalFormatting>
  <conditionalFormatting sqref="F241">
    <cfRule type="expression" dxfId="1496" priority="1740">
      <formula>"="</formula>
    </cfRule>
  </conditionalFormatting>
  <conditionalFormatting sqref="F248">
    <cfRule type="expression" dxfId="1495" priority="1739">
      <formula>"="</formula>
    </cfRule>
  </conditionalFormatting>
  <conditionalFormatting sqref="F247">
    <cfRule type="expression" dxfId="1494" priority="1738">
      <formula>"="</formula>
    </cfRule>
  </conditionalFormatting>
  <conditionalFormatting sqref="F240">
    <cfRule type="expression" dxfId="1493" priority="1737">
      <formula>"="</formula>
    </cfRule>
  </conditionalFormatting>
  <conditionalFormatting sqref="F242">
    <cfRule type="expression" dxfId="1492" priority="1736">
      <formula>"="</formula>
    </cfRule>
  </conditionalFormatting>
  <conditionalFormatting sqref="F243">
    <cfRule type="expression" dxfId="1491" priority="1735">
      <formula>"="</formula>
    </cfRule>
  </conditionalFormatting>
  <conditionalFormatting sqref="F244">
    <cfRule type="expression" dxfId="1490" priority="1734">
      <formula>"="</formula>
    </cfRule>
  </conditionalFormatting>
  <conditionalFormatting sqref="F245">
    <cfRule type="expression" dxfId="1489" priority="1733">
      <formula>"="</formula>
    </cfRule>
  </conditionalFormatting>
  <conditionalFormatting sqref="F246">
    <cfRule type="expression" dxfId="1488" priority="1732">
      <formula>"="</formula>
    </cfRule>
  </conditionalFormatting>
  <conditionalFormatting sqref="F249">
    <cfRule type="expression" dxfId="1487" priority="1731">
      <formula>"="</formula>
    </cfRule>
  </conditionalFormatting>
  <conditionalFormatting sqref="F250">
    <cfRule type="expression" dxfId="1486" priority="1730">
      <formula>"="</formula>
    </cfRule>
  </conditionalFormatting>
  <conditionalFormatting sqref="F251">
    <cfRule type="expression" dxfId="1485" priority="1729">
      <formula>"="</formula>
    </cfRule>
  </conditionalFormatting>
  <conditionalFormatting sqref="F252">
    <cfRule type="expression" dxfId="1484" priority="1728">
      <formula>"="</formula>
    </cfRule>
  </conditionalFormatting>
  <conditionalFormatting sqref="F253">
    <cfRule type="expression" dxfId="1483" priority="1727">
      <formula>"="</formula>
    </cfRule>
  </conditionalFormatting>
  <conditionalFormatting sqref="F254">
    <cfRule type="expression" dxfId="1482" priority="1726">
      <formula>"="</formula>
    </cfRule>
  </conditionalFormatting>
  <conditionalFormatting sqref="F260">
    <cfRule type="expression" dxfId="1481" priority="1725">
      <formula>"="</formula>
    </cfRule>
  </conditionalFormatting>
  <conditionalFormatting sqref="F258">
    <cfRule type="expression" dxfId="1480" priority="1724">
      <formula>"="</formula>
    </cfRule>
  </conditionalFormatting>
  <conditionalFormatting sqref="F259">
    <cfRule type="expression" dxfId="1479" priority="1723">
      <formula>"="</formula>
    </cfRule>
  </conditionalFormatting>
  <conditionalFormatting sqref="F261">
    <cfRule type="expression" dxfId="1478" priority="1722">
      <formula>"="</formula>
    </cfRule>
  </conditionalFormatting>
  <conditionalFormatting sqref="F262">
    <cfRule type="expression" dxfId="1477" priority="1721">
      <formula>"="</formula>
    </cfRule>
  </conditionalFormatting>
  <conditionalFormatting sqref="F263">
    <cfRule type="expression" dxfId="1476" priority="1720">
      <formula>"="</formula>
    </cfRule>
  </conditionalFormatting>
  <conditionalFormatting sqref="F264">
    <cfRule type="expression" dxfId="1475" priority="1719">
      <formula>"="</formula>
    </cfRule>
  </conditionalFormatting>
  <conditionalFormatting sqref="F265">
    <cfRule type="expression" dxfId="1474" priority="1718">
      <formula>"="</formula>
    </cfRule>
  </conditionalFormatting>
  <conditionalFormatting sqref="F266">
    <cfRule type="expression" dxfId="1473" priority="1717">
      <formula>"="</formula>
    </cfRule>
  </conditionalFormatting>
  <conditionalFormatting sqref="F269">
    <cfRule type="expression" dxfId="1472" priority="1716">
      <formula>"="</formula>
    </cfRule>
  </conditionalFormatting>
  <conditionalFormatting sqref="F272">
    <cfRule type="expression" dxfId="1471" priority="1715">
      <formula>"="</formula>
    </cfRule>
  </conditionalFormatting>
  <conditionalFormatting sqref="F270">
    <cfRule type="expression" dxfId="1470" priority="1714">
      <formula>"="</formula>
    </cfRule>
  </conditionalFormatting>
  <conditionalFormatting sqref="F271">
    <cfRule type="expression" dxfId="1469" priority="1713">
      <formula>"="</formula>
    </cfRule>
  </conditionalFormatting>
  <conditionalFormatting sqref="F273">
    <cfRule type="expression" dxfId="1468" priority="1712">
      <formula>"="</formula>
    </cfRule>
  </conditionalFormatting>
  <conditionalFormatting sqref="F274">
    <cfRule type="expression" dxfId="1467" priority="1711">
      <formula>"="</formula>
    </cfRule>
  </conditionalFormatting>
  <conditionalFormatting sqref="F275">
    <cfRule type="expression" dxfId="1466" priority="1710">
      <formula>"="</formula>
    </cfRule>
  </conditionalFormatting>
  <conditionalFormatting sqref="F276">
    <cfRule type="expression" dxfId="1465" priority="1709">
      <formula>"="</formula>
    </cfRule>
  </conditionalFormatting>
  <conditionalFormatting sqref="F277">
    <cfRule type="expression" dxfId="1464" priority="1708">
      <formula>"="</formula>
    </cfRule>
  </conditionalFormatting>
  <conditionalFormatting sqref="F278">
    <cfRule type="expression" dxfId="1463" priority="1707">
      <formula>"="</formula>
    </cfRule>
  </conditionalFormatting>
  <conditionalFormatting sqref="F279">
    <cfRule type="expression" dxfId="1462" priority="1706">
      <formula>"="</formula>
    </cfRule>
  </conditionalFormatting>
  <conditionalFormatting sqref="F281">
    <cfRule type="expression" dxfId="1461" priority="1705">
      <formula>"="</formula>
    </cfRule>
  </conditionalFormatting>
  <conditionalFormatting sqref="F284">
    <cfRule type="expression" dxfId="1460" priority="1704">
      <formula>"="</formula>
    </cfRule>
  </conditionalFormatting>
  <conditionalFormatting sqref="F282">
    <cfRule type="expression" dxfId="1459" priority="1703">
      <formula>"="</formula>
    </cfRule>
  </conditionalFormatting>
  <conditionalFormatting sqref="F283">
    <cfRule type="expression" dxfId="1458" priority="1702">
      <formula>"="</formula>
    </cfRule>
  </conditionalFormatting>
  <conditionalFormatting sqref="F285">
    <cfRule type="expression" dxfId="1457" priority="1701">
      <formula>"="</formula>
    </cfRule>
  </conditionalFormatting>
  <conditionalFormatting sqref="F286">
    <cfRule type="expression" dxfId="1456" priority="1700">
      <formula>"="</formula>
    </cfRule>
  </conditionalFormatting>
  <conditionalFormatting sqref="F287">
    <cfRule type="expression" dxfId="1455" priority="1699">
      <formula>"="</formula>
    </cfRule>
  </conditionalFormatting>
  <conditionalFormatting sqref="F288">
    <cfRule type="expression" dxfId="1454" priority="1698">
      <formula>"="</formula>
    </cfRule>
  </conditionalFormatting>
  <conditionalFormatting sqref="F289">
    <cfRule type="expression" dxfId="1453" priority="1697">
      <formula>"="</formula>
    </cfRule>
  </conditionalFormatting>
  <conditionalFormatting sqref="F290">
    <cfRule type="expression" dxfId="1452" priority="1696">
      <formula>"="</formula>
    </cfRule>
  </conditionalFormatting>
  <conditionalFormatting sqref="F267">
    <cfRule type="expression" dxfId="1451" priority="1695">
      <formula>"="</formula>
    </cfRule>
  </conditionalFormatting>
  <conditionalFormatting sqref="F303">
    <cfRule type="expression" dxfId="1450" priority="1694">
      <formula>"="</formula>
    </cfRule>
  </conditionalFormatting>
  <conditionalFormatting sqref="I305 I307:I319">
    <cfRule type="expression" dxfId="1449" priority="1693">
      <formula>"="</formula>
    </cfRule>
  </conditionalFormatting>
  <conditionalFormatting sqref="F319">
    <cfRule type="expression" dxfId="1448" priority="1692">
      <formula>"="</formula>
    </cfRule>
  </conditionalFormatting>
  <conditionalFormatting sqref="F320">
    <cfRule type="expression" dxfId="1447" priority="1691">
      <formula>"="</formula>
    </cfRule>
  </conditionalFormatting>
  <conditionalFormatting sqref="F306">
    <cfRule type="expression" dxfId="1446" priority="1690">
      <formula>"="</formula>
    </cfRule>
  </conditionalFormatting>
  <conditionalFormatting sqref="F307">
    <cfRule type="expression" dxfId="1445" priority="1689">
      <formula>"="</formula>
    </cfRule>
  </conditionalFormatting>
  <conditionalFormatting sqref="F308">
    <cfRule type="expression" dxfId="1444" priority="1688">
      <formula>"="</formula>
    </cfRule>
  </conditionalFormatting>
  <conditionalFormatting sqref="F309">
    <cfRule type="expression" dxfId="1443" priority="1687">
      <formula>"="</formula>
    </cfRule>
  </conditionalFormatting>
  <conditionalFormatting sqref="F310">
    <cfRule type="expression" dxfId="1442" priority="1686">
      <formula>"="</formula>
    </cfRule>
  </conditionalFormatting>
  <conditionalFormatting sqref="F311">
    <cfRule type="expression" dxfId="1441" priority="1685">
      <formula>"="</formula>
    </cfRule>
  </conditionalFormatting>
  <conditionalFormatting sqref="F312">
    <cfRule type="expression" dxfId="1440" priority="1684">
      <formula>"="</formula>
    </cfRule>
  </conditionalFormatting>
  <conditionalFormatting sqref="F313">
    <cfRule type="expression" dxfId="1439" priority="1683">
      <formula>"="</formula>
    </cfRule>
  </conditionalFormatting>
  <conditionalFormatting sqref="F314">
    <cfRule type="expression" dxfId="1438" priority="1682">
      <formula>"="</formula>
    </cfRule>
  </conditionalFormatting>
  <conditionalFormatting sqref="F315">
    <cfRule type="expression" dxfId="1437" priority="1681">
      <formula>"="</formula>
    </cfRule>
  </conditionalFormatting>
  <conditionalFormatting sqref="F316">
    <cfRule type="expression" dxfId="1436" priority="1680">
      <formula>"="</formula>
    </cfRule>
  </conditionalFormatting>
  <conditionalFormatting sqref="F317">
    <cfRule type="expression" dxfId="1435" priority="1679">
      <formula>"="</formula>
    </cfRule>
  </conditionalFormatting>
  <conditionalFormatting sqref="F318">
    <cfRule type="expression" dxfId="1434" priority="1678">
      <formula>"="</formula>
    </cfRule>
  </conditionalFormatting>
  <conditionalFormatting sqref="F323">
    <cfRule type="expression" dxfId="1433" priority="1677">
      <formula>"="</formula>
    </cfRule>
  </conditionalFormatting>
  <conditionalFormatting sqref="F321">
    <cfRule type="expression" dxfId="1432" priority="1676">
      <formula>"="</formula>
    </cfRule>
  </conditionalFormatting>
  <conditionalFormatting sqref="F337">
    <cfRule type="expression" dxfId="1431" priority="1675">
      <formula>"="</formula>
    </cfRule>
  </conditionalFormatting>
  <conditionalFormatting sqref="F338">
    <cfRule type="expression" dxfId="1430" priority="1674">
      <formula>"="</formula>
    </cfRule>
  </conditionalFormatting>
  <conditionalFormatting sqref="F324">
    <cfRule type="expression" dxfId="1429" priority="1673">
      <formula>"="</formula>
    </cfRule>
  </conditionalFormatting>
  <conditionalFormatting sqref="F325">
    <cfRule type="expression" dxfId="1428" priority="1672">
      <formula>"="</formula>
    </cfRule>
  </conditionalFormatting>
  <conditionalFormatting sqref="F326">
    <cfRule type="expression" dxfId="1427" priority="1671">
      <formula>"="</formula>
    </cfRule>
  </conditionalFormatting>
  <conditionalFormatting sqref="F327">
    <cfRule type="expression" dxfId="1426" priority="1670">
      <formula>"="</formula>
    </cfRule>
  </conditionalFormatting>
  <conditionalFormatting sqref="F328">
    <cfRule type="expression" dxfId="1425" priority="1669">
      <formula>"="</formula>
    </cfRule>
  </conditionalFormatting>
  <conditionalFormatting sqref="F329">
    <cfRule type="expression" dxfId="1424" priority="1668">
      <formula>"="</formula>
    </cfRule>
  </conditionalFormatting>
  <conditionalFormatting sqref="F330">
    <cfRule type="expression" dxfId="1423" priority="1667">
      <formula>"="</formula>
    </cfRule>
  </conditionalFormatting>
  <conditionalFormatting sqref="F331">
    <cfRule type="expression" dxfId="1422" priority="1666">
      <formula>"="</formula>
    </cfRule>
  </conditionalFormatting>
  <conditionalFormatting sqref="F332">
    <cfRule type="expression" dxfId="1421" priority="1665">
      <formula>"="</formula>
    </cfRule>
  </conditionalFormatting>
  <conditionalFormatting sqref="F333">
    <cfRule type="expression" dxfId="1420" priority="1664">
      <formula>"="</formula>
    </cfRule>
  </conditionalFormatting>
  <conditionalFormatting sqref="F334">
    <cfRule type="expression" dxfId="1419" priority="1663">
      <formula>"="</formula>
    </cfRule>
  </conditionalFormatting>
  <conditionalFormatting sqref="F335">
    <cfRule type="expression" dxfId="1418" priority="1662">
      <formula>"="</formula>
    </cfRule>
  </conditionalFormatting>
  <conditionalFormatting sqref="F336">
    <cfRule type="expression" dxfId="1417" priority="1661">
      <formula>"="</formula>
    </cfRule>
  </conditionalFormatting>
  <conditionalFormatting sqref="F341">
    <cfRule type="expression" dxfId="1416" priority="1660">
      <formula>"="</formula>
    </cfRule>
  </conditionalFormatting>
  <conditionalFormatting sqref="F339:F340">
    <cfRule type="expression" dxfId="1415" priority="1659">
      <formula>"="</formula>
    </cfRule>
  </conditionalFormatting>
  <conditionalFormatting sqref="F355">
    <cfRule type="expression" dxfId="1414" priority="1658">
      <formula>"="</formula>
    </cfRule>
  </conditionalFormatting>
  <conditionalFormatting sqref="F356">
    <cfRule type="expression" dxfId="1413" priority="1657">
      <formula>"="</formula>
    </cfRule>
  </conditionalFormatting>
  <conditionalFormatting sqref="F342">
    <cfRule type="expression" dxfId="1412" priority="1656">
      <formula>"="</formula>
    </cfRule>
  </conditionalFormatting>
  <conditionalFormatting sqref="F343">
    <cfRule type="expression" dxfId="1411" priority="1655">
      <formula>"="</formula>
    </cfRule>
  </conditionalFormatting>
  <conditionalFormatting sqref="F344">
    <cfRule type="expression" dxfId="1410" priority="1654">
      <formula>"="</formula>
    </cfRule>
  </conditionalFormatting>
  <conditionalFormatting sqref="F345">
    <cfRule type="expression" dxfId="1409" priority="1653">
      <formula>"="</formula>
    </cfRule>
  </conditionalFormatting>
  <conditionalFormatting sqref="F346">
    <cfRule type="expression" dxfId="1408" priority="1652">
      <formula>"="</formula>
    </cfRule>
  </conditionalFormatting>
  <conditionalFormatting sqref="F347">
    <cfRule type="expression" dxfId="1407" priority="1651">
      <formula>"="</formula>
    </cfRule>
  </conditionalFormatting>
  <conditionalFormatting sqref="F348">
    <cfRule type="expression" dxfId="1406" priority="1650">
      <formula>"="</formula>
    </cfRule>
  </conditionalFormatting>
  <conditionalFormatting sqref="F349">
    <cfRule type="expression" dxfId="1405" priority="1649">
      <formula>"="</formula>
    </cfRule>
  </conditionalFormatting>
  <conditionalFormatting sqref="F350">
    <cfRule type="expression" dxfId="1404" priority="1648">
      <formula>"="</formula>
    </cfRule>
  </conditionalFormatting>
  <conditionalFormatting sqref="F351">
    <cfRule type="expression" dxfId="1403" priority="1647">
      <formula>"="</formula>
    </cfRule>
  </conditionalFormatting>
  <conditionalFormatting sqref="F352">
    <cfRule type="expression" dxfId="1402" priority="1646">
      <formula>"="</formula>
    </cfRule>
  </conditionalFormatting>
  <conditionalFormatting sqref="F353">
    <cfRule type="expression" dxfId="1401" priority="1645">
      <formula>"="</formula>
    </cfRule>
  </conditionalFormatting>
  <conditionalFormatting sqref="F354">
    <cfRule type="expression" dxfId="1400" priority="1644">
      <formula>"="</formula>
    </cfRule>
  </conditionalFormatting>
  <conditionalFormatting sqref="B377 B392">
    <cfRule type="expression" dxfId="1399" priority="1621">
      <formula>"="</formula>
    </cfRule>
  </conditionalFormatting>
  <conditionalFormatting sqref="B377 B392">
    <cfRule type="expression" dxfId="1398" priority="1620">
      <formula>"="</formula>
    </cfRule>
  </conditionalFormatting>
  <conditionalFormatting sqref="E377:E391">
    <cfRule type="expression" dxfId="1397" priority="1619">
      <formula>"="</formula>
    </cfRule>
  </conditionalFormatting>
  <conditionalFormatting sqref="F376">
    <cfRule type="expression" dxfId="1396" priority="1618">
      <formula>"="</formula>
    </cfRule>
  </conditionalFormatting>
  <conditionalFormatting sqref="F378">
    <cfRule type="expression" dxfId="1395" priority="1617">
      <formula>"="</formula>
    </cfRule>
  </conditionalFormatting>
  <conditionalFormatting sqref="F379">
    <cfRule type="expression" dxfId="1394" priority="1616">
      <formula>"="</formula>
    </cfRule>
  </conditionalFormatting>
  <conditionalFormatting sqref="F380">
    <cfRule type="expression" dxfId="1393" priority="1615">
      <formula>"="</formula>
    </cfRule>
  </conditionalFormatting>
  <conditionalFormatting sqref="F391">
    <cfRule type="expression" dxfId="1392" priority="1614">
      <formula>"="</formula>
    </cfRule>
  </conditionalFormatting>
  <conditionalFormatting sqref="F392">
    <cfRule type="expression" dxfId="1391" priority="1613">
      <formula>"="</formula>
    </cfRule>
  </conditionalFormatting>
  <conditionalFormatting sqref="F381">
    <cfRule type="expression" dxfId="1390" priority="1610">
      <formula>"="</formula>
    </cfRule>
  </conditionalFormatting>
  <conditionalFormatting sqref="F382">
    <cfRule type="expression" dxfId="1389" priority="1609">
      <formula>"="</formula>
    </cfRule>
  </conditionalFormatting>
  <conditionalFormatting sqref="F383">
    <cfRule type="expression" dxfId="1388" priority="1608">
      <formula>"="</formula>
    </cfRule>
  </conditionalFormatting>
  <conditionalFormatting sqref="F384">
    <cfRule type="expression" dxfId="1387" priority="1607">
      <formula>"="</formula>
    </cfRule>
  </conditionalFormatting>
  <conditionalFormatting sqref="F385">
    <cfRule type="expression" dxfId="1386" priority="1606">
      <formula>"="</formula>
    </cfRule>
  </conditionalFormatting>
  <conditionalFormatting sqref="F386">
    <cfRule type="expression" dxfId="1385" priority="1605">
      <formula>"="</formula>
    </cfRule>
  </conditionalFormatting>
  <conditionalFormatting sqref="F387">
    <cfRule type="expression" dxfId="1384" priority="1604">
      <formula>"="</formula>
    </cfRule>
  </conditionalFormatting>
  <conditionalFormatting sqref="F388">
    <cfRule type="expression" dxfId="1383" priority="1603">
      <formula>"="</formula>
    </cfRule>
  </conditionalFormatting>
  <conditionalFormatting sqref="F389">
    <cfRule type="expression" dxfId="1382" priority="1602">
      <formula>"="</formula>
    </cfRule>
  </conditionalFormatting>
  <conditionalFormatting sqref="F390">
    <cfRule type="expression" dxfId="1381" priority="1601">
      <formula>"="</formula>
    </cfRule>
  </conditionalFormatting>
  <conditionalFormatting sqref="B303 B305 B320">
    <cfRule type="expression" dxfId="1380" priority="1592">
      <formula>"="</formula>
    </cfRule>
  </conditionalFormatting>
  <conditionalFormatting sqref="B303 B305 B320">
    <cfRule type="expression" dxfId="1379" priority="1591">
      <formula>"="</formula>
    </cfRule>
  </conditionalFormatting>
  <conditionalFormatting sqref="E305:E319">
    <cfRule type="expression" dxfId="1378" priority="1590">
      <formula>"="</formula>
    </cfRule>
  </conditionalFormatting>
  <conditionalFormatting sqref="E396:E410 E414:E415 F415 E516 E417:E419 E518:E537 G518:G537 G516">
    <cfRule type="expression" dxfId="1377" priority="1589">
      <formula>"="</formula>
    </cfRule>
  </conditionalFormatting>
  <conditionalFormatting sqref="G396:G411">
    <cfRule type="expression" dxfId="1376" priority="1588">
      <formula>"="</formula>
    </cfRule>
  </conditionalFormatting>
  <conditionalFormatting sqref="H396:H411">
    <cfRule type="expression" dxfId="1375" priority="1587">
      <formula>"="</formula>
    </cfRule>
  </conditionalFormatting>
  <conditionalFormatting sqref="I396:I410">
    <cfRule type="expression" dxfId="1374" priority="1586">
      <formula>"="</formula>
    </cfRule>
  </conditionalFormatting>
  <conditionalFormatting sqref="F393">
    <cfRule type="expression" dxfId="1373" priority="1585">
      <formula>"="</formula>
    </cfRule>
  </conditionalFormatting>
  <conditionalFormatting sqref="F394">
    <cfRule type="expression" dxfId="1372" priority="1582">
      <formula>"="</formula>
    </cfRule>
  </conditionalFormatting>
  <conditionalFormatting sqref="B2:C2 J24 E145:E156 I145:J146 B201:B207 F656 B634 E879:E887 J879:J887 J492:J513 B266 B279 B393 B395:B412 B414:B419 E539:E540 E647 E877 E18 E35 E45 E68 E108 E132 E78 E100 E116 E158 E170 E186 E198 E207 E215 E223 E233 E412 E393 E515 E566 E574 E582 E596 E634 E666 E680 E694 E712 E749 E889 E902 E375 E2:E6 G54:H54 E142 J255 G303:H303 J647 J877 E21:E25 B116 J144 B135:B142 B160:B162 B173:B186 B188:B198 H2:H8 H21:H23 H25:H27 B145:B158 B218:B223 B210:B215 E542:E564 B879:B888 G21:G25 G142:J142 G2:G6 G375:H375 G902:H902 G889:H889 G749:H749 G712:H712 G694:H694 G680:H680 G666:H666 G634:H634 G596:H596 G582:H582 G574:H574 G566:H566 G515:H515 G393:H393 G412:H412 G233:H233 G223:H223 G215:H215 G207:H207 G198:H198 G186:H186 G170:H170 G158:H158 G116:H116 G100:H100 G78:H78 G132:H132 G108:H108 G68:H68 G45:H45 G35:H35 G18:H18 G877:H877 G647:H647 G539:J539 I148:J156 J147 B124:B132 B164:B170">
    <cfRule type="expression" dxfId="1371" priority="1584">
      <formula>"="</formula>
    </cfRule>
  </conditionalFormatting>
  <conditionalFormatting sqref="B2 B634 B266 B279 B393 B395:B412 B414:B419 B879:B888 B116 B201:B207 B210:B215 B218:B223 B135:B142 B145:B158 B160:B162 B173:B186 B188:B198 B124:B132 B164:B170">
    <cfRule type="expression" dxfId="1370" priority="1583">
      <formula>"="</formula>
    </cfRule>
  </conditionalFormatting>
  <conditionalFormatting sqref="F413">
    <cfRule type="expression" dxfId="1369" priority="1581">
      <formula>"="</formula>
    </cfRule>
  </conditionalFormatting>
  <conditionalFormatting sqref="F396">
    <cfRule type="expression" dxfId="1368" priority="1580">
      <formula>"="</formula>
    </cfRule>
  </conditionalFormatting>
  <conditionalFormatting sqref="F398">
    <cfRule type="expression" dxfId="1367" priority="1579">
      <formula>"="</formula>
    </cfRule>
  </conditionalFormatting>
  <conditionalFormatting sqref="F400">
    <cfRule type="expression" dxfId="1366" priority="1578">
      <formula>"="</formula>
    </cfRule>
  </conditionalFormatting>
  <conditionalFormatting sqref="F402">
    <cfRule type="expression" dxfId="1365" priority="1577">
      <formula>"="</formula>
    </cfRule>
  </conditionalFormatting>
  <conditionalFormatting sqref="F404">
    <cfRule type="expression" dxfId="1364" priority="1576">
      <formula>"="</formula>
    </cfRule>
  </conditionalFormatting>
  <conditionalFormatting sqref="F406">
    <cfRule type="expression" dxfId="1363" priority="1575">
      <formula>"="</formula>
    </cfRule>
  </conditionalFormatting>
  <conditionalFormatting sqref="F410">
    <cfRule type="expression" dxfId="1362" priority="1574">
      <formula>"="</formula>
    </cfRule>
  </conditionalFormatting>
  <conditionalFormatting sqref="F411">
    <cfRule type="expression" dxfId="1361" priority="1573">
      <formula>"="</formula>
    </cfRule>
  </conditionalFormatting>
  <conditionalFormatting sqref="F397">
    <cfRule type="expression" dxfId="1360" priority="1572">
      <formula>"="</formula>
    </cfRule>
  </conditionalFormatting>
  <conditionalFormatting sqref="F399">
    <cfRule type="expression" dxfId="1359" priority="1571">
      <formula>"="</formula>
    </cfRule>
  </conditionalFormatting>
  <conditionalFormatting sqref="F401">
    <cfRule type="expression" dxfId="1358" priority="1570">
      <formula>"="</formula>
    </cfRule>
  </conditionalFormatting>
  <conditionalFormatting sqref="F403">
    <cfRule type="expression" dxfId="1357" priority="1569">
      <formula>"="</formula>
    </cfRule>
  </conditionalFormatting>
  <conditionalFormatting sqref="F405">
    <cfRule type="expression" dxfId="1356" priority="1568">
      <formula>"="</formula>
    </cfRule>
  </conditionalFormatting>
  <conditionalFormatting sqref="F407">
    <cfRule type="expression" dxfId="1355" priority="1567">
      <formula>"="</formula>
    </cfRule>
  </conditionalFormatting>
  <conditionalFormatting sqref="F408">
    <cfRule type="expression" dxfId="1354" priority="1566">
      <formula>"="</formula>
    </cfRule>
  </conditionalFormatting>
  <conditionalFormatting sqref="F409">
    <cfRule type="expression" dxfId="1353" priority="1565">
      <formula>"="</formula>
    </cfRule>
  </conditionalFormatting>
  <conditionalFormatting sqref="F423">
    <cfRule type="expression" dxfId="1352" priority="1561">
      <formula>"="</formula>
    </cfRule>
  </conditionalFormatting>
  <conditionalFormatting sqref="F417">
    <cfRule type="expression" dxfId="1351" priority="1564">
      <formula>"="</formula>
    </cfRule>
  </conditionalFormatting>
  <conditionalFormatting sqref="F418">
    <cfRule type="expression" dxfId="1350" priority="1563">
      <formula>"="</formula>
    </cfRule>
  </conditionalFormatting>
  <conditionalFormatting sqref="F419">
    <cfRule type="expression" dxfId="1349" priority="1562">
      <formula>"="</formula>
    </cfRule>
  </conditionalFormatting>
  <conditionalFormatting sqref="F424">
    <cfRule type="expression" dxfId="1348" priority="1560">
      <formula>"="</formula>
    </cfRule>
  </conditionalFormatting>
  <conditionalFormatting sqref="F425">
    <cfRule type="expression" dxfId="1347" priority="1559">
      <formula>"="</formula>
    </cfRule>
  </conditionalFormatting>
  <conditionalFormatting sqref="F426">
    <cfRule type="expression" dxfId="1346" priority="1558">
      <formula>"="</formula>
    </cfRule>
  </conditionalFormatting>
  <conditionalFormatting sqref="F427">
    <cfRule type="expression" dxfId="1345" priority="1557">
      <formula>"="</formula>
    </cfRule>
  </conditionalFormatting>
  <conditionalFormatting sqref="F428">
    <cfRule type="expression" dxfId="1344" priority="1556">
      <formula>"="</formula>
    </cfRule>
  </conditionalFormatting>
  <conditionalFormatting sqref="F429">
    <cfRule type="expression" dxfId="1343" priority="1555">
      <formula>"="</formula>
    </cfRule>
  </conditionalFormatting>
  <conditionalFormatting sqref="F430">
    <cfRule type="expression" dxfId="1342" priority="1554">
      <formula>"="</formula>
    </cfRule>
  </conditionalFormatting>
  <conditionalFormatting sqref="F431">
    <cfRule type="expression" dxfId="1341" priority="1553">
      <formula>"="</formula>
    </cfRule>
  </conditionalFormatting>
  <conditionalFormatting sqref="F432">
    <cfRule type="expression" dxfId="1340" priority="1552">
      <formula>"="</formula>
    </cfRule>
  </conditionalFormatting>
  <conditionalFormatting sqref="I479 I481 I483 I485 I487 I489 I491 I493 I495 I497 I499 I501 I503:I513">
    <cfRule type="expression" dxfId="1339" priority="1551">
      <formula>"="</formula>
    </cfRule>
  </conditionalFormatting>
  <conditionalFormatting sqref="F436">
    <cfRule type="expression" dxfId="1338" priority="1550">
      <formula>"="</formula>
    </cfRule>
  </conditionalFormatting>
  <conditionalFormatting sqref="F435">
    <cfRule type="expression" dxfId="1337" priority="1549">
      <formula>"="</formula>
    </cfRule>
  </conditionalFormatting>
  <conditionalFormatting sqref="F438">
    <cfRule type="expression" dxfId="1336" priority="1548">
      <formula>"="</formula>
    </cfRule>
  </conditionalFormatting>
  <conditionalFormatting sqref="F437">
    <cfRule type="expression" dxfId="1335" priority="1547">
      <formula>"="</formula>
    </cfRule>
  </conditionalFormatting>
  <conditionalFormatting sqref="F434">
    <cfRule type="expression" dxfId="1334" priority="1546">
      <formula>"="</formula>
    </cfRule>
  </conditionalFormatting>
  <conditionalFormatting sqref="F433">
    <cfRule type="expression" dxfId="1333" priority="1545">
      <formula>"="</formula>
    </cfRule>
  </conditionalFormatting>
  <conditionalFormatting sqref="F439">
    <cfRule type="expression" dxfId="1332" priority="1544">
      <formula>"="</formula>
    </cfRule>
  </conditionalFormatting>
  <conditionalFormatting sqref="F440">
    <cfRule type="expression" dxfId="1331" priority="1543">
      <formula>"="</formula>
    </cfRule>
  </conditionalFormatting>
  <conditionalFormatting sqref="F441">
    <cfRule type="expression" dxfId="1330" priority="1542">
      <formula>"="</formula>
    </cfRule>
  </conditionalFormatting>
  <conditionalFormatting sqref="F442">
    <cfRule type="expression" dxfId="1329" priority="1541">
      <formula>"="</formula>
    </cfRule>
  </conditionalFormatting>
  <conditionalFormatting sqref="F443">
    <cfRule type="expression" dxfId="1328" priority="1540">
      <formula>"="</formula>
    </cfRule>
  </conditionalFormatting>
  <conditionalFormatting sqref="F444">
    <cfRule type="expression" dxfId="1327" priority="1539">
      <formula>"="</formula>
    </cfRule>
  </conditionalFormatting>
  <conditionalFormatting sqref="D443:D458 I418:I419 I411 B413 E413 B394 E394 E376 B375:B376 I392 I378 I320 I306 E303 D223 I230 C35 C25:C26 C18:C19 C6:C7 D79:E79 B79 D187:E187 B187 H79:H80 H188 H377 H395 H414 G187:I187 G79 G376:I376 G394:I394 G413:I413">
    <cfRule type="expression" dxfId="1326" priority="1538">
      <formula>"="</formula>
    </cfRule>
  </conditionalFormatting>
  <conditionalFormatting sqref="D443:D458 D223 E413 B413 E394 B394 E376 B375:B376 E339:E340 E321 D79 B79 D187 B187">
    <cfRule type="expression" dxfId="1325" priority="1537">
      <formula>"="</formula>
    </cfRule>
  </conditionalFormatting>
  <conditionalFormatting sqref="D459:D460">
    <cfRule type="expression" dxfId="1324" priority="1536">
      <formula>"="</formula>
    </cfRule>
  </conditionalFormatting>
  <conditionalFormatting sqref="D459:D460">
    <cfRule type="expression" dxfId="1323" priority="1535">
      <formula>"="</formula>
    </cfRule>
  </conditionalFormatting>
  <conditionalFormatting sqref="D441:D442">
    <cfRule type="expression" dxfId="1322" priority="1534">
      <formula>"="</formula>
    </cfRule>
  </conditionalFormatting>
  <conditionalFormatting sqref="D474">
    <cfRule type="expression" dxfId="1321" priority="1533">
      <formula>"="</formula>
    </cfRule>
  </conditionalFormatting>
  <conditionalFormatting sqref="D474">
    <cfRule type="expression" dxfId="1320" priority="1532">
      <formula>"="</formula>
    </cfRule>
  </conditionalFormatting>
  <conditionalFormatting sqref="D475:D491">
    <cfRule type="expression" dxfId="1319" priority="1531">
      <formula>"="</formula>
    </cfRule>
  </conditionalFormatting>
  <conditionalFormatting sqref="D475:D491">
    <cfRule type="expression" dxfId="1318" priority="1530">
      <formula>"="</formula>
    </cfRule>
  </conditionalFormatting>
  <conditionalFormatting sqref="D492:D498">
    <cfRule type="expression" dxfId="1317" priority="1529">
      <formula>"="</formula>
    </cfRule>
  </conditionalFormatting>
  <conditionalFormatting sqref="D492:D498">
    <cfRule type="expression" dxfId="1316" priority="1528">
      <formula>"="</formula>
    </cfRule>
  </conditionalFormatting>
  <conditionalFormatting sqref="D499:D502">
    <cfRule type="expression" dxfId="1315" priority="1527">
      <formula>"="</formula>
    </cfRule>
  </conditionalFormatting>
  <conditionalFormatting sqref="D499:D502">
    <cfRule type="expression" dxfId="1314" priority="1526">
      <formula>"="</formula>
    </cfRule>
  </conditionalFormatting>
  <conditionalFormatting sqref="D514">
    <cfRule type="expression" dxfId="1313" priority="1525">
      <formula>"="</formula>
    </cfRule>
  </conditionalFormatting>
  <conditionalFormatting sqref="D514">
    <cfRule type="expression" dxfId="1312" priority="1524">
      <formula>"="</formula>
    </cfRule>
  </conditionalFormatting>
  <conditionalFormatting sqref="D503:D508">
    <cfRule type="expression" dxfId="1311" priority="1523">
      <formula>"="</formula>
    </cfRule>
  </conditionalFormatting>
  <conditionalFormatting sqref="D503:D508">
    <cfRule type="expression" dxfId="1310" priority="1522">
      <formula>"="</formula>
    </cfRule>
  </conditionalFormatting>
  <conditionalFormatting sqref="D509:D513">
    <cfRule type="expression" dxfId="1309" priority="1521">
      <formula>"="</formula>
    </cfRule>
  </conditionalFormatting>
  <conditionalFormatting sqref="D509:D513">
    <cfRule type="expression" dxfId="1308" priority="1520">
      <formula>"="</formula>
    </cfRule>
  </conditionalFormatting>
  <conditionalFormatting sqref="I514">
    <cfRule type="expression" dxfId="1307" priority="1519">
      <formula>"="</formula>
    </cfRule>
  </conditionalFormatting>
  <conditionalFormatting sqref="D515:D516 D518:D534">
    <cfRule type="expression" dxfId="1306" priority="1518">
      <formula>"="</formula>
    </cfRule>
  </conditionalFormatting>
  <conditionalFormatting sqref="D515:D516 D518:D534">
    <cfRule type="expression" dxfId="1305" priority="1517">
      <formula>"="</formula>
    </cfRule>
  </conditionalFormatting>
  <conditionalFormatting sqref="D535:D536">
    <cfRule type="expression" dxfId="1304" priority="1516">
      <formula>"="</formula>
    </cfRule>
  </conditionalFormatting>
  <conditionalFormatting sqref="D535:D536">
    <cfRule type="expression" dxfId="1303" priority="1515">
      <formula>"="</formula>
    </cfRule>
  </conditionalFormatting>
  <conditionalFormatting sqref="I538">
    <cfRule type="expression" dxfId="1302" priority="1514">
      <formula>"="</formula>
    </cfRule>
  </conditionalFormatting>
  <conditionalFormatting sqref="F445">
    <cfRule type="expression" dxfId="1301" priority="1513">
      <formula>"="</formula>
    </cfRule>
  </conditionalFormatting>
  <conditionalFormatting sqref="F446">
    <cfRule type="expression" dxfId="1300" priority="1512">
      <formula>"="</formula>
    </cfRule>
  </conditionalFormatting>
  <conditionalFormatting sqref="F447">
    <cfRule type="expression" dxfId="1299" priority="1511">
      <formula>"="</formula>
    </cfRule>
  </conditionalFormatting>
  <conditionalFormatting sqref="F448">
    <cfRule type="expression" dxfId="1298" priority="1510">
      <formula>"="</formula>
    </cfRule>
  </conditionalFormatting>
  <conditionalFormatting sqref="F451">
    <cfRule type="expression" dxfId="1297" priority="1509">
      <formula>"="</formula>
    </cfRule>
  </conditionalFormatting>
  <conditionalFormatting sqref="F452">
    <cfRule type="expression" dxfId="1296" priority="1508">
      <formula>"="</formula>
    </cfRule>
  </conditionalFormatting>
  <conditionalFormatting sqref="F455">
    <cfRule type="expression" dxfId="1295" priority="1507">
      <formula>"="</formula>
    </cfRule>
  </conditionalFormatting>
  <conditionalFormatting sqref="F457">
    <cfRule type="expression" dxfId="1294" priority="1506">
      <formula>"="</formula>
    </cfRule>
  </conditionalFormatting>
  <conditionalFormatting sqref="F458">
    <cfRule type="expression" dxfId="1293" priority="1505">
      <formula>"="</formula>
    </cfRule>
  </conditionalFormatting>
  <conditionalFormatting sqref="F462">
    <cfRule type="expression" dxfId="1292" priority="1504">
      <formula>"="</formula>
    </cfRule>
  </conditionalFormatting>
  <conditionalFormatting sqref="F463">
    <cfRule type="expression" dxfId="1291" priority="1503">
      <formula>"="</formula>
    </cfRule>
  </conditionalFormatting>
  <conditionalFormatting sqref="F464">
    <cfRule type="expression" dxfId="1290" priority="1502">
      <formula>"="</formula>
    </cfRule>
  </conditionalFormatting>
  <conditionalFormatting sqref="F465">
    <cfRule type="expression" dxfId="1289" priority="1501">
      <formula>"="</formula>
    </cfRule>
  </conditionalFormatting>
  <conditionalFormatting sqref="F466">
    <cfRule type="expression" dxfId="1288" priority="1500">
      <formula>"="</formula>
    </cfRule>
  </conditionalFormatting>
  <conditionalFormatting sqref="F467">
    <cfRule type="expression" dxfId="1287" priority="1499">
      <formula>"="</formula>
    </cfRule>
  </conditionalFormatting>
  <conditionalFormatting sqref="F468">
    <cfRule type="expression" dxfId="1286" priority="1498">
      <formula>"="</formula>
    </cfRule>
  </conditionalFormatting>
  <conditionalFormatting sqref="F469">
    <cfRule type="expression" dxfId="1285" priority="1497">
      <formula>"="</formula>
    </cfRule>
  </conditionalFormatting>
  <conditionalFormatting sqref="F470">
    <cfRule type="expression" dxfId="1284" priority="1496">
      <formula>"="</formula>
    </cfRule>
  </conditionalFormatting>
  <conditionalFormatting sqref="F471">
    <cfRule type="expression" dxfId="1283" priority="1495">
      <formula>"="</formula>
    </cfRule>
  </conditionalFormatting>
  <conditionalFormatting sqref="F472">
    <cfRule type="expression" dxfId="1282" priority="1494">
      <formula>"="</formula>
    </cfRule>
  </conditionalFormatting>
  <conditionalFormatting sqref="F473">
    <cfRule type="expression" dxfId="1281" priority="1493">
      <formula>"="</formula>
    </cfRule>
  </conditionalFormatting>
  <conditionalFormatting sqref="F474">
    <cfRule type="expression" dxfId="1280" priority="1492">
      <formula>"="</formula>
    </cfRule>
  </conditionalFormatting>
  <conditionalFormatting sqref="F475">
    <cfRule type="expression" dxfId="1279" priority="1491">
      <formula>"="</formula>
    </cfRule>
  </conditionalFormatting>
  <conditionalFormatting sqref="F476">
    <cfRule type="expression" dxfId="1278" priority="1490">
      <formula>"="</formula>
    </cfRule>
  </conditionalFormatting>
  <conditionalFormatting sqref="F477">
    <cfRule type="expression" dxfId="1277" priority="1489">
      <formula>"="</formula>
    </cfRule>
  </conditionalFormatting>
  <conditionalFormatting sqref="F478">
    <cfRule type="expression" dxfId="1276" priority="1488">
      <formula>"="</formula>
    </cfRule>
  </conditionalFormatting>
  <conditionalFormatting sqref="F479">
    <cfRule type="expression" dxfId="1275" priority="1487">
      <formula>"="</formula>
    </cfRule>
  </conditionalFormatting>
  <conditionalFormatting sqref="F480">
    <cfRule type="expression" dxfId="1274" priority="1486">
      <formula>"="</formula>
    </cfRule>
  </conditionalFormatting>
  <conditionalFormatting sqref="F481">
    <cfRule type="expression" dxfId="1273" priority="1485">
      <formula>"="</formula>
    </cfRule>
  </conditionalFormatting>
  <conditionalFormatting sqref="F482">
    <cfRule type="expression" dxfId="1272" priority="1484">
      <formula>"="</formula>
    </cfRule>
  </conditionalFormatting>
  <conditionalFormatting sqref="F483">
    <cfRule type="expression" dxfId="1271" priority="1483">
      <formula>"="</formula>
    </cfRule>
  </conditionalFormatting>
  <conditionalFormatting sqref="F484">
    <cfRule type="expression" dxfId="1270" priority="1482">
      <formula>"="</formula>
    </cfRule>
  </conditionalFormatting>
  <conditionalFormatting sqref="F485">
    <cfRule type="expression" dxfId="1269" priority="1481">
      <formula>"="</formula>
    </cfRule>
  </conditionalFormatting>
  <conditionalFormatting sqref="F486">
    <cfRule type="expression" dxfId="1268" priority="1480">
      <formula>"="</formula>
    </cfRule>
  </conditionalFormatting>
  <conditionalFormatting sqref="F487">
    <cfRule type="expression" dxfId="1267" priority="1479">
      <formula>"="</formula>
    </cfRule>
  </conditionalFormatting>
  <conditionalFormatting sqref="F488">
    <cfRule type="expression" dxfId="1266" priority="1478">
      <formula>"="</formula>
    </cfRule>
  </conditionalFormatting>
  <conditionalFormatting sqref="F489">
    <cfRule type="expression" dxfId="1265" priority="1477">
      <formula>"="</formula>
    </cfRule>
  </conditionalFormatting>
  <conditionalFormatting sqref="F490">
    <cfRule type="expression" dxfId="1264" priority="1476">
      <formula>"="</formula>
    </cfRule>
  </conditionalFormatting>
  <conditionalFormatting sqref="F491">
    <cfRule type="expression" dxfId="1263" priority="1475">
      <formula>"="</formula>
    </cfRule>
  </conditionalFormatting>
  <conditionalFormatting sqref="F492">
    <cfRule type="expression" dxfId="1262" priority="1474">
      <formula>"="</formula>
    </cfRule>
  </conditionalFormatting>
  <conditionalFormatting sqref="F493">
    <cfRule type="expression" dxfId="1261" priority="1473">
      <formula>"="</formula>
    </cfRule>
  </conditionalFormatting>
  <conditionalFormatting sqref="F494">
    <cfRule type="expression" dxfId="1260" priority="1472">
      <formula>"="</formula>
    </cfRule>
  </conditionalFormatting>
  <conditionalFormatting sqref="F495">
    <cfRule type="expression" dxfId="1259" priority="1471">
      <formula>"="</formula>
    </cfRule>
  </conditionalFormatting>
  <conditionalFormatting sqref="F496">
    <cfRule type="expression" dxfId="1258" priority="1470">
      <formula>"="</formula>
    </cfRule>
  </conditionalFormatting>
  <conditionalFormatting sqref="F497">
    <cfRule type="expression" dxfId="1257" priority="1469">
      <formula>"="</formula>
    </cfRule>
  </conditionalFormatting>
  <conditionalFormatting sqref="F498">
    <cfRule type="expression" dxfId="1256" priority="1468">
      <formula>"="</formula>
    </cfRule>
  </conditionalFormatting>
  <conditionalFormatting sqref="F499">
    <cfRule type="expression" dxfId="1255" priority="1467">
      <formula>"="</formula>
    </cfRule>
  </conditionalFormatting>
  <conditionalFormatting sqref="F500">
    <cfRule type="expression" dxfId="1254" priority="1466">
      <formula>"="</formula>
    </cfRule>
  </conditionalFormatting>
  <conditionalFormatting sqref="F501">
    <cfRule type="expression" dxfId="1253" priority="1465">
      <formula>"="</formula>
    </cfRule>
  </conditionalFormatting>
  <conditionalFormatting sqref="F502">
    <cfRule type="expression" dxfId="1252" priority="1464">
      <formula>"="</formula>
    </cfRule>
  </conditionalFormatting>
  <conditionalFormatting sqref="F503">
    <cfRule type="expression" dxfId="1251" priority="1463">
      <formula>"="</formula>
    </cfRule>
  </conditionalFormatting>
  <conditionalFormatting sqref="F504">
    <cfRule type="expression" dxfId="1250" priority="1462">
      <formula>"="</formula>
    </cfRule>
  </conditionalFormatting>
  <conditionalFormatting sqref="F505">
    <cfRule type="expression" dxfId="1249" priority="1461">
      <formula>"="</formula>
    </cfRule>
  </conditionalFormatting>
  <conditionalFormatting sqref="F506">
    <cfRule type="expression" dxfId="1248" priority="1460">
      <formula>"="</formula>
    </cfRule>
  </conditionalFormatting>
  <conditionalFormatting sqref="F507">
    <cfRule type="expression" dxfId="1247" priority="1459">
      <formula>"="</formula>
    </cfRule>
  </conditionalFormatting>
  <conditionalFormatting sqref="F508">
    <cfRule type="expression" dxfId="1246" priority="1458">
      <formula>"="</formula>
    </cfRule>
  </conditionalFormatting>
  <conditionalFormatting sqref="F509">
    <cfRule type="expression" dxfId="1245" priority="1457">
      <formula>"="</formula>
    </cfRule>
  </conditionalFormatting>
  <conditionalFormatting sqref="F510">
    <cfRule type="expression" dxfId="1244" priority="1456">
      <formula>"="</formula>
    </cfRule>
  </conditionalFormatting>
  <conditionalFormatting sqref="F511">
    <cfRule type="expression" dxfId="1243" priority="1455">
      <formula>"="</formula>
    </cfRule>
  </conditionalFormatting>
  <conditionalFormatting sqref="F513">
    <cfRule type="expression" dxfId="1242" priority="1454">
      <formula>"="</formula>
    </cfRule>
  </conditionalFormatting>
  <conditionalFormatting sqref="F514">
    <cfRule type="expression" dxfId="1241" priority="1453">
      <formula>"="</formula>
    </cfRule>
  </conditionalFormatting>
  <conditionalFormatting sqref="F449">
    <cfRule type="expression" dxfId="1240" priority="1452">
      <formula>"="</formula>
    </cfRule>
  </conditionalFormatting>
  <conditionalFormatting sqref="F450">
    <cfRule type="expression" dxfId="1239" priority="1451">
      <formula>"="</formula>
    </cfRule>
  </conditionalFormatting>
  <conditionalFormatting sqref="F453">
    <cfRule type="expression" dxfId="1238" priority="1450">
      <formula>"="</formula>
    </cfRule>
  </conditionalFormatting>
  <conditionalFormatting sqref="F454">
    <cfRule type="expression" dxfId="1237" priority="1449">
      <formula>"="</formula>
    </cfRule>
  </conditionalFormatting>
  <conditionalFormatting sqref="F459">
    <cfRule type="expression" dxfId="1236" priority="1448">
      <formula>"="</formula>
    </cfRule>
  </conditionalFormatting>
  <conditionalFormatting sqref="F460">
    <cfRule type="expression" dxfId="1235" priority="1447">
      <formula>"="</formula>
    </cfRule>
  </conditionalFormatting>
  <conditionalFormatting sqref="F461">
    <cfRule type="expression" dxfId="1234" priority="1446">
      <formula>"="</formula>
    </cfRule>
  </conditionalFormatting>
  <conditionalFormatting sqref="F518">
    <cfRule type="expression" dxfId="1233" priority="1445">
      <formula>"="</formula>
    </cfRule>
  </conditionalFormatting>
  <conditionalFormatting sqref="F525">
    <cfRule type="expression" dxfId="1232" priority="1444">
      <formula>"="</formula>
    </cfRule>
  </conditionalFormatting>
  <conditionalFormatting sqref="F524">
    <cfRule type="expression" dxfId="1231" priority="1443">
      <formula>"="</formula>
    </cfRule>
  </conditionalFormatting>
  <conditionalFormatting sqref="F527">
    <cfRule type="expression" dxfId="1230" priority="1442">
      <formula>"="</formula>
    </cfRule>
  </conditionalFormatting>
  <conditionalFormatting sqref="F528">
    <cfRule type="expression" dxfId="1229" priority="1441">
      <formula>"="</formula>
    </cfRule>
  </conditionalFormatting>
  <conditionalFormatting sqref="F529">
    <cfRule type="expression" dxfId="1228" priority="1440">
      <formula>"="</formula>
    </cfRule>
  </conditionalFormatting>
  <conditionalFormatting sqref="F530">
    <cfRule type="expression" dxfId="1227" priority="1439">
      <formula>"="</formula>
    </cfRule>
  </conditionalFormatting>
  <conditionalFormatting sqref="F531">
    <cfRule type="expression" dxfId="1226" priority="1438">
      <formula>"="</formula>
    </cfRule>
  </conditionalFormatting>
  <conditionalFormatting sqref="F532">
    <cfRule type="expression" dxfId="1225" priority="1437">
      <formula>"="</formula>
    </cfRule>
  </conditionalFormatting>
  <conditionalFormatting sqref="F533">
    <cfRule type="expression" dxfId="1224" priority="1436">
      <formula>"="</formula>
    </cfRule>
  </conditionalFormatting>
  <conditionalFormatting sqref="F534">
    <cfRule type="expression" dxfId="1223" priority="1435">
      <formula>"="</formula>
    </cfRule>
  </conditionalFormatting>
  <conditionalFormatting sqref="F535">
    <cfRule type="expression" dxfId="1222" priority="1434">
      <formula>"="</formula>
    </cfRule>
  </conditionalFormatting>
  <conditionalFormatting sqref="F519">
    <cfRule type="expression" dxfId="1221" priority="1433">
      <formula>"="</formula>
    </cfRule>
  </conditionalFormatting>
  <conditionalFormatting sqref="F520">
    <cfRule type="expression" dxfId="1220" priority="1432">
      <formula>"="</formula>
    </cfRule>
  </conditionalFormatting>
  <conditionalFormatting sqref="F521">
    <cfRule type="expression" dxfId="1219" priority="1431">
      <formula>"="</formula>
    </cfRule>
  </conditionalFormatting>
  <conditionalFormatting sqref="F522">
    <cfRule type="expression" dxfId="1218" priority="1430">
      <formula>"="</formula>
    </cfRule>
  </conditionalFormatting>
  <conditionalFormatting sqref="F523">
    <cfRule type="expression" dxfId="1217" priority="1429">
      <formula>"="</formula>
    </cfRule>
  </conditionalFormatting>
  <conditionalFormatting sqref="F526">
    <cfRule type="expression" dxfId="1216" priority="1428">
      <formula>"="</formula>
    </cfRule>
  </conditionalFormatting>
  <conditionalFormatting sqref="F536">
    <cfRule type="expression" dxfId="1215" priority="1427">
      <formula>"="</formula>
    </cfRule>
  </conditionalFormatting>
  <conditionalFormatting sqref="F537">
    <cfRule type="expression" dxfId="1214" priority="1426">
      <formula>"="</formula>
    </cfRule>
  </conditionalFormatting>
  <conditionalFormatting sqref="F538">
    <cfRule type="expression" dxfId="1213" priority="1425">
      <formula>"="</formula>
    </cfRule>
  </conditionalFormatting>
  <conditionalFormatting sqref="D538">
    <cfRule type="expression" dxfId="1212" priority="1424">
      <formula>"="</formula>
    </cfRule>
  </conditionalFormatting>
  <conditionalFormatting sqref="D538">
    <cfRule type="expression" dxfId="1211" priority="1423">
      <formula>"="</formula>
    </cfRule>
  </conditionalFormatting>
  <conditionalFormatting sqref="D595">
    <cfRule type="expression" dxfId="1210" priority="1422">
      <formula>"="</formula>
    </cfRule>
  </conditionalFormatting>
  <conditionalFormatting sqref="D595">
    <cfRule type="expression" dxfId="1209" priority="1421">
      <formula>"="</formula>
    </cfRule>
  </conditionalFormatting>
  <conditionalFormatting sqref="I565">
    <cfRule type="expression" dxfId="1208" priority="1420">
      <formula>"="</formula>
    </cfRule>
  </conditionalFormatting>
  <conditionalFormatting sqref="I573">
    <cfRule type="expression" dxfId="1207" priority="1419">
      <formula>"="</formula>
    </cfRule>
  </conditionalFormatting>
  <conditionalFormatting sqref="I581">
    <cfRule type="expression" dxfId="1206" priority="1418">
      <formula>"="</formula>
    </cfRule>
  </conditionalFormatting>
  <conditionalFormatting sqref="I595">
    <cfRule type="expression" dxfId="1205" priority="1417">
      <formula>"="</formula>
    </cfRule>
  </conditionalFormatting>
  <conditionalFormatting sqref="I646">
    <cfRule type="expression" dxfId="1204" priority="1415">
      <formula>"="</formula>
    </cfRule>
  </conditionalFormatting>
  <conditionalFormatting sqref="I916">
    <cfRule type="expression" dxfId="1203" priority="1413">
      <formula>"="</formula>
    </cfRule>
  </conditionalFormatting>
  <conditionalFormatting sqref="D539:D540 D542:D565">
    <cfRule type="expression" dxfId="1202" priority="1412">
      <formula>"="</formula>
    </cfRule>
  </conditionalFormatting>
  <conditionalFormatting sqref="D539:D540 D542:D565">
    <cfRule type="expression" dxfId="1201" priority="1411">
      <formula>"="</formula>
    </cfRule>
  </conditionalFormatting>
  <conditionalFormatting sqref="I542:I564">
    <cfRule type="expression" dxfId="1200" priority="1410">
      <formula>"="</formula>
    </cfRule>
  </conditionalFormatting>
  <conditionalFormatting sqref="F542">
    <cfRule type="expression" dxfId="1199" priority="1409">
      <formula>"="</formula>
    </cfRule>
  </conditionalFormatting>
  <conditionalFormatting sqref="F543">
    <cfRule type="expression" dxfId="1198" priority="1408">
      <formula>"="</formula>
    </cfRule>
  </conditionalFormatting>
  <conditionalFormatting sqref="F544">
    <cfRule type="expression" dxfId="1197" priority="1407">
      <formula>"="</formula>
    </cfRule>
  </conditionalFormatting>
  <conditionalFormatting sqref="F545">
    <cfRule type="expression" dxfId="1196" priority="1406">
      <formula>"="</formula>
    </cfRule>
  </conditionalFormatting>
  <conditionalFormatting sqref="F550">
    <cfRule type="expression" dxfId="1195" priority="1402">
      <formula>"="</formula>
    </cfRule>
  </conditionalFormatting>
  <conditionalFormatting sqref="F547">
    <cfRule type="expression" dxfId="1194" priority="1405">
      <formula>"="</formula>
    </cfRule>
  </conditionalFormatting>
  <conditionalFormatting sqref="F548">
    <cfRule type="expression" dxfId="1193" priority="1404">
      <formula>"="</formula>
    </cfRule>
  </conditionalFormatting>
  <conditionalFormatting sqref="F549">
    <cfRule type="expression" dxfId="1192" priority="1403">
      <formula>"="</formula>
    </cfRule>
  </conditionalFormatting>
  <conditionalFormatting sqref="F551">
    <cfRule type="expression" dxfId="1191" priority="1401">
      <formula>"="</formula>
    </cfRule>
  </conditionalFormatting>
  <conditionalFormatting sqref="F552">
    <cfRule type="expression" dxfId="1190" priority="1400">
      <formula>"="</formula>
    </cfRule>
  </conditionalFormatting>
  <conditionalFormatting sqref="F553">
    <cfRule type="expression" dxfId="1189" priority="1399">
      <formula>"="</formula>
    </cfRule>
  </conditionalFormatting>
  <conditionalFormatting sqref="F554">
    <cfRule type="expression" dxfId="1188" priority="1398">
      <formula>"="</formula>
    </cfRule>
  </conditionalFormatting>
  <conditionalFormatting sqref="F555">
    <cfRule type="expression" dxfId="1187" priority="1397">
      <formula>"="</formula>
    </cfRule>
  </conditionalFormatting>
  <conditionalFormatting sqref="F556">
    <cfRule type="expression" dxfId="1186" priority="1396">
      <formula>"="</formula>
    </cfRule>
  </conditionalFormatting>
  <conditionalFormatting sqref="F557">
    <cfRule type="expression" dxfId="1185" priority="1395">
      <formula>"="</formula>
    </cfRule>
  </conditionalFormatting>
  <conditionalFormatting sqref="F558">
    <cfRule type="expression" dxfId="1184" priority="1394">
      <formula>"="</formula>
    </cfRule>
  </conditionalFormatting>
  <conditionalFormatting sqref="F559">
    <cfRule type="expression" dxfId="1183" priority="1393">
      <formula>"="</formula>
    </cfRule>
  </conditionalFormatting>
  <conditionalFormatting sqref="F562">
    <cfRule type="expression" dxfId="1182" priority="1392">
      <formula>"="</formula>
    </cfRule>
  </conditionalFormatting>
  <conditionalFormatting sqref="F563">
    <cfRule type="expression" dxfId="1181" priority="1391">
      <formula>"="</formula>
    </cfRule>
  </conditionalFormatting>
  <conditionalFormatting sqref="F560">
    <cfRule type="expression" dxfId="1180" priority="1390">
      <formula>"="</formula>
    </cfRule>
  </conditionalFormatting>
  <conditionalFormatting sqref="F561">
    <cfRule type="expression" dxfId="1179" priority="1389">
      <formula>"="</formula>
    </cfRule>
  </conditionalFormatting>
  <conditionalFormatting sqref="F564">
    <cfRule type="expression" dxfId="1178" priority="1388">
      <formula>"="</formula>
    </cfRule>
  </conditionalFormatting>
  <conditionalFormatting sqref="F565">
    <cfRule type="expression" dxfId="1177" priority="1387">
      <formula>"="</formula>
    </cfRule>
  </conditionalFormatting>
  <conditionalFormatting sqref="F571">
    <cfRule type="expression" dxfId="1176" priority="1386">
      <formula>"="</formula>
    </cfRule>
  </conditionalFormatting>
  <conditionalFormatting sqref="F572">
    <cfRule type="expression" dxfId="1175" priority="1385">
      <formula>"="</formula>
    </cfRule>
  </conditionalFormatting>
  <conditionalFormatting sqref="F573">
    <cfRule type="expression" dxfId="1174" priority="1384">
      <formula>"="</formula>
    </cfRule>
  </conditionalFormatting>
  <conditionalFormatting sqref="F569">
    <cfRule type="expression" dxfId="1173" priority="1383">
      <formula>"="</formula>
    </cfRule>
  </conditionalFormatting>
  <conditionalFormatting sqref="F570">
    <cfRule type="expression" dxfId="1172" priority="1382">
      <formula>"="</formula>
    </cfRule>
  </conditionalFormatting>
  <conditionalFormatting sqref="F577">
    <cfRule type="expression" dxfId="1171" priority="1381">
      <formula>"="</formula>
    </cfRule>
  </conditionalFormatting>
  <conditionalFormatting sqref="F578">
    <cfRule type="expression" dxfId="1170" priority="1380">
      <formula>"="</formula>
    </cfRule>
  </conditionalFormatting>
  <conditionalFormatting sqref="F579">
    <cfRule type="expression" dxfId="1169" priority="1379">
      <formula>"="</formula>
    </cfRule>
  </conditionalFormatting>
  <conditionalFormatting sqref="F580">
    <cfRule type="expression" dxfId="1168" priority="1378">
      <formula>"="</formula>
    </cfRule>
  </conditionalFormatting>
  <conditionalFormatting sqref="F581">
    <cfRule type="expression" dxfId="1167" priority="1377">
      <formula>"="</formula>
    </cfRule>
  </conditionalFormatting>
  <conditionalFormatting sqref="D566:D567 D569:D573">
    <cfRule type="expression" dxfId="1166" priority="1376">
      <formula>"="</formula>
    </cfRule>
  </conditionalFormatting>
  <conditionalFormatting sqref="D566:D567 D569:D573">
    <cfRule type="expression" dxfId="1165" priority="1375">
      <formula>"="</formula>
    </cfRule>
  </conditionalFormatting>
  <conditionalFormatting sqref="D574:D575 D577:D581">
    <cfRule type="expression" dxfId="1164" priority="1374">
      <formula>"="</formula>
    </cfRule>
  </conditionalFormatting>
  <conditionalFormatting sqref="D574:D575 D577:D581">
    <cfRule type="expression" dxfId="1163" priority="1373">
      <formula>"="</formula>
    </cfRule>
  </conditionalFormatting>
  <conditionalFormatting sqref="F585">
    <cfRule type="expression" dxfId="1162" priority="1372">
      <formula>"="</formula>
    </cfRule>
  </conditionalFormatting>
  <conditionalFormatting sqref="F586">
    <cfRule type="expression" dxfId="1161" priority="1371">
      <formula>"="</formula>
    </cfRule>
  </conditionalFormatting>
  <conditionalFormatting sqref="F587">
    <cfRule type="expression" dxfId="1160" priority="1370">
      <formula>"="</formula>
    </cfRule>
  </conditionalFormatting>
  <conditionalFormatting sqref="F594">
    <cfRule type="expression" dxfId="1159" priority="1369">
      <formula>"="</formula>
    </cfRule>
  </conditionalFormatting>
  <conditionalFormatting sqref="F595">
    <cfRule type="expression" dxfId="1158" priority="1368">
      <formula>"="</formula>
    </cfRule>
  </conditionalFormatting>
  <conditionalFormatting sqref="F588">
    <cfRule type="expression" dxfId="1157" priority="1367">
      <formula>"="</formula>
    </cfRule>
  </conditionalFormatting>
  <conditionalFormatting sqref="F589">
    <cfRule type="expression" dxfId="1156" priority="1366">
      <formula>"="</formula>
    </cfRule>
  </conditionalFormatting>
  <conditionalFormatting sqref="F590">
    <cfRule type="expression" dxfId="1155" priority="1365">
      <formula>"="</formula>
    </cfRule>
  </conditionalFormatting>
  <conditionalFormatting sqref="F591">
    <cfRule type="expression" dxfId="1154" priority="1364">
      <formula>"="</formula>
    </cfRule>
  </conditionalFormatting>
  <conditionalFormatting sqref="F592">
    <cfRule type="expression" dxfId="1153" priority="1363">
      <formula>"="</formula>
    </cfRule>
  </conditionalFormatting>
  <conditionalFormatting sqref="F593">
    <cfRule type="expression" dxfId="1152" priority="1362">
      <formula>"="</formula>
    </cfRule>
  </conditionalFormatting>
  <conditionalFormatting sqref="F599">
    <cfRule type="expression" dxfId="1151" priority="1361">
      <formula>"="</formula>
    </cfRule>
  </conditionalFormatting>
  <conditionalFormatting sqref="F600">
    <cfRule type="expression" dxfId="1150" priority="1360">
      <formula>"="</formula>
    </cfRule>
  </conditionalFormatting>
  <conditionalFormatting sqref="F601">
    <cfRule type="expression" dxfId="1149" priority="1359">
      <formula>"="</formula>
    </cfRule>
  </conditionalFormatting>
  <conditionalFormatting sqref="F602">
    <cfRule type="expression" dxfId="1148" priority="1358">
      <formula>"="</formula>
    </cfRule>
  </conditionalFormatting>
  <conditionalFormatting sqref="F614">
    <cfRule type="expression" dxfId="1147" priority="1355">
      <formula>"="</formula>
    </cfRule>
  </conditionalFormatting>
  <conditionalFormatting sqref="F604:F613">
    <cfRule type="expression" dxfId="1146" priority="1354">
      <formula>"="</formula>
    </cfRule>
  </conditionalFormatting>
  <conditionalFormatting sqref="D635">
    <cfRule type="expression" dxfId="1145" priority="1353">
      <formula>"="</formula>
    </cfRule>
  </conditionalFormatting>
  <conditionalFormatting sqref="D635">
    <cfRule type="expression" dxfId="1144" priority="1352">
      <formula>"="</formula>
    </cfRule>
  </conditionalFormatting>
  <conditionalFormatting sqref="D636">
    <cfRule type="expression" dxfId="1143" priority="1351">
      <formula>"="</formula>
    </cfRule>
  </conditionalFormatting>
  <conditionalFormatting sqref="D636">
    <cfRule type="expression" dxfId="1142" priority="1350">
      <formula>"="</formula>
    </cfRule>
  </conditionalFormatting>
  <conditionalFormatting sqref="D637">
    <cfRule type="expression" dxfId="1141" priority="1349">
      <formula>"="</formula>
    </cfRule>
  </conditionalFormatting>
  <conditionalFormatting sqref="D637">
    <cfRule type="expression" dxfId="1140" priority="1348">
      <formula>"="</formula>
    </cfRule>
  </conditionalFormatting>
  <conditionalFormatting sqref="D638">
    <cfRule type="expression" dxfId="1139" priority="1347">
      <formula>"="</formula>
    </cfRule>
  </conditionalFormatting>
  <conditionalFormatting sqref="D638">
    <cfRule type="expression" dxfId="1138" priority="1346">
      <formula>"="</formula>
    </cfRule>
  </conditionalFormatting>
  <conditionalFormatting sqref="D639">
    <cfRule type="expression" dxfId="1137" priority="1345">
      <formula>"="</formula>
    </cfRule>
  </conditionalFormatting>
  <conditionalFormatting sqref="D639">
    <cfRule type="expression" dxfId="1136" priority="1344">
      <formula>"="</formula>
    </cfRule>
  </conditionalFormatting>
  <conditionalFormatting sqref="D640">
    <cfRule type="expression" dxfId="1135" priority="1343">
      <formula>"="</formula>
    </cfRule>
  </conditionalFormatting>
  <conditionalFormatting sqref="D640">
    <cfRule type="expression" dxfId="1134" priority="1342">
      <formula>"="</formula>
    </cfRule>
  </conditionalFormatting>
  <conditionalFormatting sqref="D641">
    <cfRule type="expression" dxfId="1133" priority="1341">
      <formula>"="</formula>
    </cfRule>
  </conditionalFormatting>
  <conditionalFormatting sqref="D641">
    <cfRule type="expression" dxfId="1132" priority="1340">
      <formula>"="</formula>
    </cfRule>
  </conditionalFormatting>
  <conditionalFormatting sqref="D642">
    <cfRule type="expression" dxfId="1131" priority="1339">
      <formula>"="</formula>
    </cfRule>
  </conditionalFormatting>
  <conditionalFormatting sqref="D642">
    <cfRule type="expression" dxfId="1130" priority="1338">
      <formula>"="</formula>
    </cfRule>
  </conditionalFormatting>
  <conditionalFormatting sqref="D643">
    <cfRule type="expression" dxfId="1129" priority="1337">
      <formula>"="</formula>
    </cfRule>
  </conditionalFormatting>
  <conditionalFormatting sqref="D643">
    <cfRule type="expression" dxfId="1128" priority="1336">
      <formula>"="</formula>
    </cfRule>
  </conditionalFormatting>
  <conditionalFormatting sqref="D644">
    <cfRule type="expression" dxfId="1127" priority="1335">
      <formula>"="</formula>
    </cfRule>
  </conditionalFormatting>
  <conditionalFormatting sqref="D644">
    <cfRule type="expression" dxfId="1126" priority="1334">
      <formula>"="</formula>
    </cfRule>
  </conditionalFormatting>
  <conditionalFormatting sqref="D645">
    <cfRule type="expression" dxfId="1125" priority="1333">
      <formula>"="</formula>
    </cfRule>
  </conditionalFormatting>
  <conditionalFormatting sqref="D645">
    <cfRule type="expression" dxfId="1124" priority="1332">
      <formula>"="</formula>
    </cfRule>
  </conditionalFormatting>
  <conditionalFormatting sqref="D646">
    <cfRule type="expression" dxfId="1123" priority="1331">
      <formula>"="</formula>
    </cfRule>
  </conditionalFormatting>
  <conditionalFormatting sqref="D646">
    <cfRule type="expression" dxfId="1122" priority="1330">
      <formula>"="</formula>
    </cfRule>
  </conditionalFormatting>
  <conditionalFormatting sqref="D634">
    <cfRule type="expression" dxfId="1121" priority="1329">
      <formula>"="</formula>
    </cfRule>
  </conditionalFormatting>
  <conditionalFormatting sqref="D634">
    <cfRule type="expression" dxfId="1120" priority="1328">
      <formula>"="</formula>
    </cfRule>
  </conditionalFormatting>
  <conditionalFormatting sqref="F637">
    <cfRule type="expression" dxfId="1119" priority="1327">
      <formula>"="</formula>
    </cfRule>
  </conditionalFormatting>
  <conditionalFormatting sqref="F638">
    <cfRule type="expression" dxfId="1118" priority="1326">
      <formula>"="</formula>
    </cfRule>
  </conditionalFormatting>
  <conditionalFormatting sqref="F639">
    <cfRule type="expression" dxfId="1117" priority="1325">
      <formula>"="</formula>
    </cfRule>
  </conditionalFormatting>
  <conditionalFormatting sqref="F640">
    <cfRule type="expression" dxfId="1116" priority="1324">
      <formula>"="</formula>
    </cfRule>
  </conditionalFormatting>
  <conditionalFormatting sqref="F641">
    <cfRule type="expression" dxfId="1115" priority="1323">
      <formula>"="</formula>
    </cfRule>
  </conditionalFormatting>
  <conditionalFormatting sqref="F642">
    <cfRule type="expression" dxfId="1114" priority="1322">
      <formula>"="</formula>
    </cfRule>
  </conditionalFormatting>
  <conditionalFormatting sqref="F643">
    <cfRule type="expression" dxfId="1113" priority="1321">
      <formula>"="</formula>
    </cfRule>
  </conditionalFormatting>
  <conditionalFormatting sqref="F644">
    <cfRule type="expression" dxfId="1112" priority="1320">
      <formula>"="</formula>
    </cfRule>
  </conditionalFormatting>
  <conditionalFormatting sqref="F645">
    <cfRule type="expression" dxfId="1111" priority="1319">
      <formula>"="</formula>
    </cfRule>
  </conditionalFormatting>
  <conditionalFormatting sqref="F646">
    <cfRule type="expression" dxfId="1110" priority="1318">
      <formula>"="</formula>
    </cfRule>
  </conditionalFormatting>
  <conditionalFormatting sqref="D647:D648 D650:D665">
    <cfRule type="expression" dxfId="1109" priority="1267">
      <formula>"="</formula>
    </cfRule>
  </conditionalFormatting>
  <conditionalFormatting sqref="D647:D648 D650:D665">
    <cfRule type="expression" dxfId="1108" priority="1266">
      <formula>"="</formula>
    </cfRule>
  </conditionalFormatting>
  <conditionalFormatting sqref="I647:I648 I650:I665">
    <cfRule type="expression" dxfId="1107" priority="1265">
      <formula>"="</formula>
    </cfRule>
  </conditionalFormatting>
  <conditionalFormatting sqref="I647:I648 I650:I665">
    <cfRule type="expression" dxfId="1106" priority="1264">
      <formula>"="</formula>
    </cfRule>
  </conditionalFormatting>
  <conditionalFormatting sqref="F650">
    <cfRule type="expression" dxfId="1105" priority="1263">
      <formula>"="</formula>
    </cfRule>
  </conditionalFormatting>
  <conditionalFormatting sqref="F651">
    <cfRule type="expression" dxfId="1104" priority="1262">
      <formula>"="</formula>
    </cfRule>
  </conditionalFormatting>
  <conditionalFormatting sqref="F652">
    <cfRule type="expression" dxfId="1103" priority="1261">
      <formula>"="</formula>
    </cfRule>
  </conditionalFormatting>
  <conditionalFormatting sqref="F653">
    <cfRule type="expression" dxfId="1102" priority="1260">
      <formula>"="</formula>
    </cfRule>
  </conditionalFormatting>
  <conditionalFormatting sqref="F654">
    <cfRule type="expression" dxfId="1101" priority="1259">
      <formula>"="</formula>
    </cfRule>
  </conditionalFormatting>
  <conditionalFormatting sqref="F655">
    <cfRule type="expression" dxfId="1100" priority="1258">
      <formula>"="</formula>
    </cfRule>
  </conditionalFormatting>
  <conditionalFormatting sqref="F657">
    <cfRule type="expression" dxfId="1099" priority="1257">
      <formula>"="</formula>
    </cfRule>
  </conditionalFormatting>
  <conditionalFormatting sqref="F658">
    <cfRule type="expression" dxfId="1098" priority="1256">
      <formula>"="</formula>
    </cfRule>
  </conditionalFormatting>
  <conditionalFormatting sqref="F664">
    <cfRule type="expression" dxfId="1097" priority="1255">
      <formula>"="</formula>
    </cfRule>
  </conditionalFormatting>
  <conditionalFormatting sqref="F665">
    <cfRule type="expression" dxfId="1096" priority="1254">
      <formula>"="</formula>
    </cfRule>
  </conditionalFormatting>
  <conditionalFormatting sqref="F663">
    <cfRule type="expression" dxfId="1095" priority="1253">
      <formula>"="</formula>
    </cfRule>
  </conditionalFormatting>
  <conditionalFormatting sqref="F661">
    <cfRule type="expression" dxfId="1094" priority="1252">
      <formula>"="</formula>
    </cfRule>
  </conditionalFormatting>
  <conditionalFormatting sqref="F659">
    <cfRule type="expression" dxfId="1093" priority="1251">
      <formula>"="</formula>
    </cfRule>
  </conditionalFormatting>
  <conditionalFormatting sqref="F660">
    <cfRule type="expression" dxfId="1092" priority="1250">
      <formula>"="</formula>
    </cfRule>
  </conditionalFormatting>
  <conditionalFormatting sqref="F662">
    <cfRule type="expression" dxfId="1091" priority="1249">
      <formula>"="</formula>
    </cfRule>
  </conditionalFormatting>
  <conditionalFormatting sqref="D666 D669:D679">
    <cfRule type="expression" dxfId="1090" priority="1248">
      <formula>"="</formula>
    </cfRule>
  </conditionalFormatting>
  <conditionalFormatting sqref="D666 D669:D679">
    <cfRule type="expression" dxfId="1089" priority="1247">
      <formula>"="</formula>
    </cfRule>
  </conditionalFormatting>
  <conditionalFormatting sqref="I666 I669:I679">
    <cfRule type="expression" dxfId="1088" priority="1246">
      <formula>"="</formula>
    </cfRule>
  </conditionalFormatting>
  <conditionalFormatting sqref="I666 I669:I679">
    <cfRule type="expression" dxfId="1087" priority="1245">
      <formula>"="</formula>
    </cfRule>
  </conditionalFormatting>
  <conditionalFormatting sqref="F672">
    <cfRule type="expression" dxfId="1086" priority="1244">
      <formula>"="</formula>
    </cfRule>
  </conditionalFormatting>
  <conditionalFormatting sqref="F673">
    <cfRule type="expression" dxfId="1085" priority="1243">
      <formula>"="</formula>
    </cfRule>
  </conditionalFormatting>
  <conditionalFormatting sqref="F669">
    <cfRule type="expression" dxfId="1084" priority="1242">
      <formula>"="</formula>
    </cfRule>
  </conditionalFormatting>
  <conditionalFormatting sqref="F226">
    <cfRule type="expression" dxfId="1083" priority="1241">
      <formula>"="</formula>
    </cfRule>
  </conditionalFormatting>
  <conditionalFormatting sqref="F670">
    <cfRule type="expression" dxfId="1082" priority="1239">
      <formula>"="</formula>
    </cfRule>
  </conditionalFormatting>
  <conditionalFormatting sqref="F671">
    <cfRule type="expression" dxfId="1081" priority="1238">
      <formula>"="</formula>
    </cfRule>
  </conditionalFormatting>
  <conditionalFormatting sqref="F678">
    <cfRule type="expression" dxfId="1080" priority="1237">
      <formula>"="</formula>
    </cfRule>
  </conditionalFormatting>
  <conditionalFormatting sqref="F679">
    <cfRule type="expression" dxfId="1079" priority="1236">
      <formula>"="</formula>
    </cfRule>
  </conditionalFormatting>
  <conditionalFormatting sqref="F674">
    <cfRule type="expression" dxfId="1078" priority="1235">
      <formula>"="</formula>
    </cfRule>
  </conditionalFormatting>
  <conditionalFormatting sqref="F675">
    <cfRule type="expression" dxfId="1077" priority="1234">
      <formula>"="</formula>
    </cfRule>
  </conditionalFormatting>
  <conditionalFormatting sqref="F676">
    <cfRule type="expression" dxfId="1076" priority="1233">
      <formula>"="</formula>
    </cfRule>
  </conditionalFormatting>
  <conditionalFormatting sqref="F677">
    <cfRule type="expression" dxfId="1075" priority="1232">
      <formula>"="</formula>
    </cfRule>
  </conditionalFormatting>
  <conditionalFormatting sqref="F683">
    <cfRule type="expression" dxfId="1074" priority="1231">
      <formula>"="</formula>
    </cfRule>
  </conditionalFormatting>
  <conditionalFormatting sqref="F684">
    <cfRule type="expression" dxfId="1073" priority="1230">
      <formula>"="</formula>
    </cfRule>
  </conditionalFormatting>
  <conditionalFormatting sqref="F685">
    <cfRule type="expression" dxfId="1072" priority="1229">
      <formula>"="</formula>
    </cfRule>
  </conditionalFormatting>
  <conditionalFormatting sqref="F692">
    <cfRule type="expression" dxfId="1071" priority="1228">
      <formula>"="</formula>
    </cfRule>
  </conditionalFormatting>
  <conditionalFormatting sqref="F693">
    <cfRule type="expression" dxfId="1070" priority="1227">
      <formula>"="</formula>
    </cfRule>
  </conditionalFormatting>
  <conditionalFormatting sqref="F687">
    <cfRule type="expression" dxfId="1069" priority="1226">
      <formula>"="</formula>
    </cfRule>
  </conditionalFormatting>
  <conditionalFormatting sqref="F688">
    <cfRule type="expression" dxfId="1068" priority="1225">
      <formula>"="</formula>
    </cfRule>
  </conditionalFormatting>
  <conditionalFormatting sqref="F690">
    <cfRule type="expression" dxfId="1067" priority="1224">
      <formula>"="</formula>
    </cfRule>
  </conditionalFormatting>
  <conditionalFormatting sqref="F691">
    <cfRule type="expression" dxfId="1066" priority="1223">
      <formula>"="</formula>
    </cfRule>
  </conditionalFormatting>
  <conditionalFormatting sqref="F686">
    <cfRule type="expression" dxfId="1065" priority="1222">
      <formula>"="</formula>
    </cfRule>
  </conditionalFormatting>
  <conditionalFormatting sqref="F689">
    <cfRule type="expression" dxfId="1064" priority="1221">
      <formula>"="</formula>
    </cfRule>
  </conditionalFormatting>
  <conditionalFormatting sqref="D694">
    <cfRule type="expression" dxfId="1063" priority="1220">
      <formula>"="</formula>
    </cfRule>
  </conditionalFormatting>
  <conditionalFormatting sqref="D694">
    <cfRule type="expression" dxfId="1062" priority="1219">
      <formula>"="</formula>
    </cfRule>
  </conditionalFormatting>
  <conditionalFormatting sqref="I694">
    <cfRule type="expression" dxfId="1061" priority="1218">
      <formula>"="</formula>
    </cfRule>
  </conditionalFormatting>
  <conditionalFormatting sqref="I694">
    <cfRule type="expression" dxfId="1060" priority="1217">
      <formula>"="</formula>
    </cfRule>
  </conditionalFormatting>
  <conditionalFormatting sqref="F699">
    <cfRule type="expression" dxfId="1059" priority="1216">
      <formula>"="</formula>
    </cfRule>
  </conditionalFormatting>
  <conditionalFormatting sqref="F700">
    <cfRule type="expression" dxfId="1058" priority="1215">
      <formula>"="</formula>
    </cfRule>
  </conditionalFormatting>
  <conditionalFormatting sqref="F701">
    <cfRule type="expression" dxfId="1057" priority="1214">
      <formula>"="</formula>
    </cfRule>
  </conditionalFormatting>
  <conditionalFormatting sqref="F702">
    <cfRule type="expression" dxfId="1056" priority="1213">
      <formula>"="</formula>
    </cfRule>
  </conditionalFormatting>
  <conditionalFormatting sqref="F697">
    <cfRule type="expression" dxfId="1055" priority="1212">
      <formula>"="</formula>
    </cfRule>
  </conditionalFormatting>
  <conditionalFormatting sqref="F703">
    <cfRule type="expression" dxfId="1054" priority="1211">
      <formula>"="</formula>
    </cfRule>
  </conditionalFormatting>
  <conditionalFormatting sqref="F704">
    <cfRule type="expression" dxfId="1053" priority="1210">
      <formula>"="</formula>
    </cfRule>
  </conditionalFormatting>
  <conditionalFormatting sqref="F705">
    <cfRule type="expression" dxfId="1052" priority="1209">
      <formula>"="</formula>
    </cfRule>
  </conditionalFormatting>
  <conditionalFormatting sqref="F706">
    <cfRule type="expression" dxfId="1051" priority="1208">
      <formula>"="</formula>
    </cfRule>
  </conditionalFormatting>
  <conditionalFormatting sqref="F707">
    <cfRule type="expression" dxfId="1050" priority="1207">
      <formula>"="</formula>
    </cfRule>
  </conditionalFormatting>
  <conditionalFormatting sqref="F708">
    <cfRule type="expression" dxfId="1049" priority="1206">
      <formula>"="</formula>
    </cfRule>
  </conditionalFormatting>
  <conditionalFormatting sqref="F709">
    <cfRule type="expression" dxfId="1048" priority="1205">
      <formula>"="</formula>
    </cfRule>
  </conditionalFormatting>
  <conditionalFormatting sqref="F710">
    <cfRule type="expression" dxfId="1047" priority="1204">
      <formula>"="</formula>
    </cfRule>
  </conditionalFormatting>
  <conditionalFormatting sqref="F711">
    <cfRule type="expression" dxfId="1046" priority="1203">
      <formula>"="</formula>
    </cfRule>
  </conditionalFormatting>
  <conditionalFormatting sqref="D712 D724:D748">
    <cfRule type="expression" dxfId="1045" priority="1202">
      <formula>"="</formula>
    </cfRule>
  </conditionalFormatting>
  <conditionalFormatting sqref="D712 D724:D748">
    <cfRule type="expression" dxfId="1044" priority="1201">
      <formula>"="</formula>
    </cfRule>
  </conditionalFormatting>
  <conditionalFormatting sqref="I712 I724:I748">
    <cfRule type="expression" dxfId="1043" priority="1200">
      <formula>"="</formula>
    </cfRule>
  </conditionalFormatting>
  <conditionalFormatting sqref="I712 I724:I748">
    <cfRule type="expression" dxfId="1042" priority="1199">
      <formula>"="</formula>
    </cfRule>
  </conditionalFormatting>
  <conditionalFormatting sqref="F716">
    <cfRule type="expression" dxfId="1041" priority="1198">
      <formula>"="</formula>
    </cfRule>
  </conditionalFormatting>
  <conditionalFormatting sqref="F715">
    <cfRule type="expression" dxfId="1040" priority="1197">
      <formula>"="</formula>
    </cfRule>
  </conditionalFormatting>
  <conditionalFormatting sqref="F717">
    <cfRule type="expression" dxfId="1039" priority="1196">
      <formula>"="</formula>
    </cfRule>
  </conditionalFormatting>
  <conditionalFormatting sqref="F731">
    <cfRule type="expression" dxfId="1038" priority="1195">
      <formula>"="</formula>
    </cfRule>
  </conditionalFormatting>
  <conditionalFormatting sqref="F733">
    <cfRule type="expression" dxfId="1037" priority="1194">
      <formula>"="</formula>
    </cfRule>
  </conditionalFormatting>
  <conditionalFormatting sqref="F735">
    <cfRule type="expression" dxfId="1036" priority="1193">
      <formula>"="</formula>
    </cfRule>
  </conditionalFormatting>
  <conditionalFormatting sqref="F736">
    <cfRule type="expression" dxfId="1035" priority="1192">
      <formula>"="</formula>
    </cfRule>
  </conditionalFormatting>
  <conditionalFormatting sqref="F739">
    <cfRule type="expression" dxfId="1034" priority="1191">
      <formula>"="</formula>
    </cfRule>
  </conditionalFormatting>
  <conditionalFormatting sqref="F743">
    <cfRule type="expression" dxfId="1033" priority="1190">
      <formula>"="</formula>
    </cfRule>
  </conditionalFormatting>
  <conditionalFormatting sqref="F745">
    <cfRule type="expression" dxfId="1032" priority="1189">
      <formula>"="</formula>
    </cfRule>
  </conditionalFormatting>
  <conditionalFormatting sqref="F746">
    <cfRule type="expression" dxfId="1031" priority="1188">
      <formula>"="</formula>
    </cfRule>
  </conditionalFormatting>
  <conditionalFormatting sqref="F744">
    <cfRule type="expression" dxfId="1030" priority="1187">
      <formula>"="</formula>
    </cfRule>
  </conditionalFormatting>
  <conditionalFormatting sqref="F747">
    <cfRule type="expression" dxfId="1029" priority="1186">
      <formula>"="</formula>
    </cfRule>
  </conditionalFormatting>
  <conditionalFormatting sqref="F748">
    <cfRule type="expression" dxfId="1028" priority="1185">
      <formula>"="</formula>
    </cfRule>
  </conditionalFormatting>
  <conditionalFormatting sqref="F718">
    <cfRule type="expression" dxfId="1027" priority="1184">
      <formula>"="</formula>
    </cfRule>
  </conditionalFormatting>
  <conditionalFormatting sqref="F719">
    <cfRule type="expression" dxfId="1026" priority="1183">
      <formula>"="</formula>
    </cfRule>
  </conditionalFormatting>
  <conditionalFormatting sqref="F720">
    <cfRule type="expression" dxfId="1025" priority="1182">
      <formula>"="</formula>
    </cfRule>
  </conditionalFormatting>
  <conditionalFormatting sqref="F722">
    <cfRule type="expression" dxfId="1024" priority="1181">
      <formula>"="</formula>
    </cfRule>
  </conditionalFormatting>
  <conditionalFormatting sqref="F723">
    <cfRule type="expression" dxfId="1023" priority="1180">
      <formula>"="</formula>
    </cfRule>
  </conditionalFormatting>
  <conditionalFormatting sqref="F724">
    <cfRule type="expression" dxfId="1022" priority="1179">
      <formula>"="</formula>
    </cfRule>
  </conditionalFormatting>
  <conditionalFormatting sqref="F725">
    <cfRule type="expression" dxfId="1021" priority="1178">
      <formula>"="</formula>
    </cfRule>
  </conditionalFormatting>
  <conditionalFormatting sqref="F726">
    <cfRule type="expression" dxfId="1020" priority="1177">
      <formula>"="</formula>
    </cfRule>
  </conditionalFormatting>
  <conditionalFormatting sqref="F727">
    <cfRule type="expression" dxfId="1019" priority="1176">
      <formula>"="</formula>
    </cfRule>
  </conditionalFormatting>
  <conditionalFormatting sqref="F729">
    <cfRule type="expression" dxfId="1018" priority="1175">
      <formula>"="</formula>
    </cfRule>
  </conditionalFormatting>
  <conditionalFormatting sqref="F741">
    <cfRule type="expression" dxfId="1017" priority="1174">
      <formula>"="</formula>
    </cfRule>
  </conditionalFormatting>
  <conditionalFormatting sqref="F728">
    <cfRule type="expression" dxfId="1016" priority="1173">
      <formula>"="</formula>
    </cfRule>
  </conditionalFormatting>
  <conditionalFormatting sqref="F730">
    <cfRule type="expression" dxfId="1015" priority="1172">
      <formula>"="</formula>
    </cfRule>
  </conditionalFormatting>
  <conditionalFormatting sqref="F732">
    <cfRule type="expression" dxfId="1014" priority="1171">
      <formula>"="</formula>
    </cfRule>
  </conditionalFormatting>
  <conditionalFormatting sqref="F734">
    <cfRule type="expression" dxfId="1013" priority="1170">
      <formula>"="</formula>
    </cfRule>
  </conditionalFormatting>
  <conditionalFormatting sqref="F737">
    <cfRule type="expression" dxfId="1012" priority="1169">
      <formula>"="</formula>
    </cfRule>
  </conditionalFormatting>
  <conditionalFormatting sqref="F740">
    <cfRule type="expression" dxfId="1011" priority="1168">
      <formula>"="</formula>
    </cfRule>
  </conditionalFormatting>
  <conditionalFormatting sqref="F742">
    <cfRule type="expression" dxfId="1010" priority="1167">
      <formula>"="</formula>
    </cfRule>
  </conditionalFormatting>
  <conditionalFormatting sqref="F738">
    <cfRule type="expression" dxfId="1009" priority="1166">
      <formula>"="</formula>
    </cfRule>
  </conditionalFormatting>
  <conditionalFormatting sqref="D749 D761:D795">
    <cfRule type="expression" dxfId="1008" priority="1165">
      <formula>"="</formula>
    </cfRule>
  </conditionalFormatting>
  <conditionalFormatting sqref="D749 D761:D795">
    <cfRule type="expression" dxfId="1007" priority="1164">
      <formula>"="</formula>
    </cfRule>
  </conditionalFormatting>
  <conditionalFormatting sqref="I749 I761:I795">
    <cfRule type="expression" dxfId="1006" priority="1163">
      <formula>"="</formula>
    </cfRule>
  </conditionalFormatting>
  <conditionalFormatting sqref="I749 I761:I795">
    <cfRule type="expression" dxfId="1005" priority="1162">
      <formula>"="</formula>
    </cfRule>
  </conditionalFormatting>
  <conditionalFormatting sqref="F763">
    <cfRule type="expression" dxfId="1004" priority="1161">
      <formula>"="</formula>
    </cfRule>
  </conditionalFormatting>
  <conditionalFormatting sqref="F766">
    <cfRule type="expression" dxfId="1003" priority="1160">
      <formula>"="</formula>
    </cfRule>
  </conditionalFormatting>
  <conditionalFormatting sqref="F769">
    <cfRule type="expression" dxfId="1002" priority="1159">
      <formula>"="</formula>
    </cfRule>
  </conditionalFormatting>
  <conditionalFormatting sqref="F772">
    <cfRule type="expression" dxfId="1001" priority="1158">
      <formula>"="</formula>
    </cfRule>
  </conditionalFormatting>
  <conditionalFormatting sqref="F775">
    <cfRule type="expression" dxfId="1000" priority="1157">
      <formula>"="</formula>
    </cfRule>
  </conditionalFormatting>
  <conditionalFormatting sqref="F778">
    <cfRule type="expression" dxfId="999" priority="1156">
      <formula>"="</formula>
    </cfRule>
  </conditionalFormatting>
  <conditionalFormatting sqref="F781">
    <cfRule type="expression" dxfId="998" priority="1155">
      <formula>"="</formula>
    </cfRule>
  </conditionalFormatting>
  <conditionalFormatting sqref="F784">
    <cfRule type="expression" dxfId="997" priority="1154">
      <formula>"="</formula>
    </cfRule>
  </conditionalFormatting>
  <conditionalFormatting sqref="F787">
    <cfRule type="expression" dxfId="996" priority="1153">
      <formula>"="</formula>
    </cfRule>
  </conditionalFormatting>
  <conditionalFormatting sqref="F790">
    <cfRule type="expression" dxfId="995" priority="1152">
      <formula>"="</formula>
    </cfRule>
  </conditionalFormatting>
  <conditionalFormatting sqref="F764">
    <cfRule type="expression" dxfId="994" priority="1151">
      <formula>"="</formula>
    </cfRule>
  </conditionalFormatting>
  <conditionalFormatting sqref="F767">
    <cfRule type="expression" dxfId="993" priority="1150">
      <formula>"="</formula>
    </cfRule>
  </conditionalFormatting>
  <conditionalFormatting sqref="F770">
    <cfRule type="expression" dxfId="992" priority="1149">
      <formula>"="</formula>
    </cfRule>
  </conditionalFormatting>
  <conditionalFormatting sqref="F773">
    <cfRule type="expression" dxfId="991" priority="1148">
      <formula>"="</formula>
    </cfRule>
  </conditionalFormatting>
  <conditionalFormatting sqref="F776">
    <cfRule type="expression" dxfId="990" priority="1147">
      <formula>"="</formula>
    </cfRule>
  </conditionalFormatting>
  <conditionalFormatting sqref="F779">
    <cfRule type="expression" dxfId="989" priority="1146">
      <formula>"="</formula>
    </cfRule>
  </conditionalFormatting>
  <conditionalFormatting sqref="F782">
    <cfRule type="expression" dxfId="988" priority="1145">
      <formula>"="</formula>
    </cfRule>
  </conditionalFormatting>
  <conditionalFormatting sqref="F785">
    <cfRule type="expression" dxfId="987" priority="1144">
      <formula>"="</formula>
    </cfRule>
  </conditionalFormatting>
  <conditionalFormatting sqref="F788">
    <cfRule type="expression" dxfId="986" priority="1143">
      <formula>"="</formula>
    </cfRule>
  </conditionalFormatting>
  <conditionalFormatting sqref="F791">
    <cfRule type="expression" dxfId="985" priority="1142">
      <formula>"="</formula>
    </cfRule>
  </conditionalFormatting>
  <conditionalFormatting sqref="F792">
    <cfRule type="expression" dxfId="984" priority="1141">
      <formula>"="</formula>
    </cfRule>
  </conditionalFormatting>
  <conditionalFormatting sqref="F793">
    <cfRule type="expression" dxfId="983" priority="1140">
      <formula>"="</formula>
    </cfRule>
  </conditionalFormatting>
  <conditionalFormatting sqref="F794">
    <cfRule type="expression" dxfId="982" priority="1139">
      <formula>"="</formula>
    </cfRule>
  </conditionalFormatting>
  <conditionalFormatting sqref="F795">
    <cfRule type="expression" dxfId="981" priority="1138">
      <formula>"="</formula>
    </cfRule>
  </conditionalFormatting>
  <conditionalFormatting sqref="F753">
    <cfRule type="expression" dxfId="980" priority="1137">
      <formula>"="</formula>
    </cfRule>
  </conditionalFormatting>
  <conditionalFormatting sqref="F755">
    <cfRule type="expression" dxfId="979" priority="1136">
      <formula>"="</formula>
    </cfRule>
  </conditionalFormatting>
  <conditionalFormatting sqref="F756">
    <cfRule type="expression" dxfId="978" priority="1135">
      <formula>"="</formula>
    </cfRule>
  </conditionalFormatting>
  <conditionalFormatting sqref="F757">
    <cfRule type="expression" dxfId="977" priority="1134">
      <formula>"="</formula>
    </cfRule>
  </conditionalFormatting>
  <conditionalFormatting sqref="F758">
    <cfRule type="expression" dxfId="976" priority="1133">
      <formula>"="</formula>
    </cfRule>
  </conditionalFormatting>
  <conditionalFormatting sqref="F759">
    <cfRule type="expression" dxfId="975" priority="1132">
      <formula>"="</formula>
    </cfRule>
  </conditionalFormatting>
  <conditionalFormatting sqref="F760">
    <cfRule type="expression" dxfId="974" priority="1131">
      <formula>"="</formula>
    </cfRule>
  </conditionalFormatting>
  <conditionalFormatting sqref="F761">
    <cfRule type="expression" dxfId="973" priority="1130">
      <formula>"="</formula>
    </cfRule>
  </conditionalFormatting>
  <conditionalFormatting sqref="F762">
    <cfRule type="expression" dxfId="972" priority="1129">
      <formula>"="</formula>
    </cfRule>
  </conditionalFormatting>
  <conditionalFormatting sqref="F765">
    <cfRule type="expression" dxfId="971" priority="1128">
      <formula>"="</formula>
    </cfRule>
  </conditionalFormatting>
  <conditionalFormatting sqref="F768">
    <cfRule type="expression" dxfId="970" priority="1127">
      <formula>"="</formula>
    </cfRule>
  </conditionalFormatting>
  <conditionalFormatting sqref="F771">
    <cfRule type="expression" dxfId="969" priority="1126">
      <formula>"="</formula>
    </cfRule>
  </conditionalFormatting>
  <conditionalFormatting sqref="F774">
    <cfRule type="expression" dxfId="968" priority="1125">
      <formula>"="</formula>
    </cfRule>
  </conditionalFormatting>
  <conditionalFormatting sqref="F777">
    <cfRule type="expression" dxfId="967" priority="1124">
      <formula>"="</formula>
    </cfRule>
  </conditionalFormatting>
  <conditionalFormatting sqref="F780">
    <cfRule type="expression" dxfId="966" priority="1123">
      <formula>"="</formula>
    </cfRule>
  </conditionalFormatting>
  <conditionalFormatting sqref="F783">
    <cfRule type="expression" dxfId="965" priority="1122">
      <formula>"="</formula>
    </cfRule>
  </conditionalFormatting>
  <conditionalFormatting sqref="F786">
    <cfRule type="expression" dxfId="964" priority="1121">
      <formula>"="</formula>
    </cfRule>
  </conditionalFormatting>
  <conditionalFormatting sqref="F789">
    <cfRule type="expression" dxfId="963" priority="1120">
      <formula>"="</formula>
    </cfRule>
  </conditionalFormatting>
  <conditionalFormatting sqref="F721">
    <cfRule type="expression" dxfId="962" priority="1119">
      <formula>"="</formula>
    </cfRule>
  </conditionalFormatting>
  <conditionalFormatting sqref="F752">
    <cfRule type="expression" dxfId="961" priority="1118">
      <formula>"="</formula>
    </cfRule>
  </conditionalFormatting>
  <conditionalFormatting sqref="F754">
    <cfRule type="expression" dxfId="960" priority="1117">
      <formula>"="</formula>
    </cfRule>
  </conditionalFormatting>
  <conditionalFormatting sqref="B877">
    <cfRule type="expression" dxfId="959" priority="1116">
      <formula>"="</formula>
    </cfRule>
  </conditionalFormatting>
  <conditionalFormatting sqref="B877">
    <cfRule type="expression" dxfId="958" priority="1115">
      <formula>"="</formula>
    </cfRule>
  </conditionalFormatting>
  <conditionalFormatting sqref="B878">
    <cfRule type="expression" dxfId="957" priority="1114">
      <formula>"="</formula>
    </cfRule>
  </conditionalFormatting>
  <conditionalFormatting sqref="B878">
    <cfRule type="expression" dxfId="956" priority="1113">
      <formula>"="</formula>
    </cfRule>
  </conditionalFormatting>
  <conditionalFormatting sqref="D879:D888">
    <cfRule type="expression" dxfId="955" priority="1112">
      <formula>"="</formula>
    </cfRule>
  </conditionalFormatting>
  <conditionalFormatting sqref="D879:D888">
    <cfRule type="expression" dxfId="954" priority="1111">
      <formula>"="</formula>
    </cfRule>
  </conditionalFormatting>
  <conditionalFormatting sqref="I879:I888">
    <cfRule type="expression" dxfId="953" priority="1110">
      <formula>"="</formula>
    </cfRule>
  </conditionalFormatting>
  <conditionalFormatting sqref="I879:I888">
    <cfRule type="expression" dxfId="952" priority="1109">
      <formula>"="</formula>
    </cfRule>
  </conditionalFormatting>
  <conditionalFormatting sqref="B890">
    <cfRule type="expression" dxfId="951" priority="1098">
      <formula>"="</formula>
    </cfRule>
  </conditionalFormatting>
  <conditionalFormatting sqref="G903">
    <cfRule type="expression" dxfId="950" priority="1108">
      <formula>"="</formula>
    </cfRule>
  </conditionalFormatting>
  <conditionalFormatting sqref="H903:H904">
    <cfRule type="expression" dxfId="949" priority="1107">
      <formula>"="</formula>
    </cfRule>
  </conditionalFormatting>
  <conditionalFormatting sqref="F903">
    <cfRule type="expression" dxfId="948" priority="1106">
      <formula>"="</formula>
    </cfRule>
  </conditionalFormatting>
  <conditionalFormatting sqref="E903">
    <cfRule type="expression" dxfId="947" priority="1105">
      <formula>"="</formula>
    </cfRule>
  </conditionalFormatting>
  <conditionalFormatting sqref="I903">
    <cfRule type="expression" dxfId="946" priority="1104">
      <formula>"="</formula>
    </cfRule>
  </conditionalFormatting>
  <conditionalFormatting sqref="I903">
    <cfRule type="expression" dxfId="945" priority="1103">
      <formula>"="</formula>
    </cfRule>
  </conditionalFormatting>
  <conditionalFormatting sqref="I902">
    <cfRule type="expression" dxfId="944" priority="1102">
      <formula>"="</formula>
    </cfRule>
  </conditionalFormatting>
  <conditionalFormatting sqref="I902">
    <cfRule type="expression" dxfId="943" priority="1101">
      <formula>"="</formula>
    </cfRule>
  </conditionalFormatting>
  <conditionalFormatting sqref="B889">
    <cfRule type="expression" dxfId="942" priority="1100">
      <formula>"="</formula>
    </cfRule>
  </conditionalFormatting>
  <conditionalFormatting sqref="B889">
    <cfRule type="expression" dxfId="941" priority="1099">
      <formula>"="</formula>
    </cfRule>
  </conditionalFormatting>
  <conditionalFormatting sqref="B890">
    <cfRule type="expression" dxfId="940" priority="1097">
      <formula>"="</formula>
    </cfRule>
  </conditionalFormatting>
  <conditionalFormatting sqref="D891:D901">
    <cfRule type="expression" dxfId="939" priority="1096">
      <formula>"="</formula>
    </cfRule>
  </conditionalFormatting>
  <conditionalFormatting sqref="D891:D901">
    <cfRule type="expression" dxfId="938" priority="1095">
      <formula>"="</formula>
    </cfRule>
  </conditionalFormatting>
  <conditionalFormatting sqref="I891:I901">
    <cfRule type="expression" dxfId="937" priority="1094">
      <formula>"="</formula>
    </cfRule>
  </conditionalFormatting>
  <conditionalFormatting sqref="I891:I901">
    <cfRule type="expression" dxfId="936" priority="1093">
      <formula>"="</formula>
    </cfRule>
  </conditionalFormatting>
  <conditionalFormatting sqref="I889">
    <cfRule type="expression" dxfId="935" priority="1092">
      <formula>"="</formula>
    </cfRule>
  </conditionalFormatting>
  <conditionalFormatting sqref="I889">
    <cfRule type="expression" dxfId="934" priority="1091">
      <formula>"="</formula>
    </cfRule>
  </conditionalFormatting>
  <conditionalFormatting sqref="B902">
    <cfRule type="expression" dxfId="933" priority="1090">
      <formula>"="</formula>
    </cfRule>
  </conditionalFormatting>
  <conditionalFormatting sqref="B902">
    <cfRule type="expression" dxfId="932" priority="1089">
      <formula>"="</formula>
    </cfRule>
  </conditionalFormatting>
  <conditionalFormatting sqref="B903">
    <cfRule type="expression" dxfId="931" priority="1088">
      <formula>"="</formula>
    </cfRule>
  </conditionalFormatting>
  <conditionalFormatting sqref="B903">
    <cfRule type="expression" dxfId="930" priority="1087">
      <formula>"="</formula>
    </cfRule>
  </conditionalFormatting>
  <conditionalFormatting sqref="D904:D916">
    <cfRule type="expression" dxfId="929" priority="1086">
      <formula>"="</formula>
    </cfRule>
  </conditionalFormatting>
  <conditionalFormatting sqref="D904:D916">
    <cfRule type="expression" dxfId="928" priority="1085">
      <formula>"="</formula>
    </cfRule>
  </conditionalFormatting>
  <conditionalFormatting sqref="D902">
    <cfRule type="expression" dxfId="927" priority="1084">
      <formula>"="</formula>
    </cfRule>
  </conditionalFormatting>
  <conditionalFormatting sqref="D902">
    <cfRule type="expression" dxfId="926" priority="1083">
      <formula>"="</formula>
    </cfRule>
  </conditionalFormatting>
  <conditionalFormatting sqref="D903">
    <cfRule type="expression" dxfId="925" priority="1082">
      <formula>"="</formula>
    </cfRule>
  </conditionalFormatting>
  <conditionalFormatting sqref="D903">
    <cfRule type="expression" dxfId="924" priority="1081">
      <formula>"="</formula>
    </cfRule>
  </conditionalFormatting>
  <conditionalFormatting sqref="I904:I912">
    <cfRule type="expression" dxfId="923" priority="1080">
      <formula>"="</formula>
    </cfRule>
  </conditionalFormatting>
  <conditionalFormatting sqref="I904:I912">
    <cfRule type="expression" dxfId="922" priority="1079">
      <formula>"="</formula>
    </cfRule>
  </conditionalFormatting>
  <conditionalFormatting sqref="F882">
    <cfRule type="expression" dxfId="921" priority="1078">
      <formula>"="</formula>
    </cfRule>
  </conditionalFormatting>
  <conditionalFormatting sqref="F883">
    <cfRule type="expression" dxfId="920" priority="1077">
      <formula>"="</formula>
    </cfRule>
  </conditionalFormatting>
  <conditionalFormatting sqref="F884">
    <cfRule type="expression" dxfId="919" priority="1076">
      <formula>"="</formula>
    </cfRule>
  </conditionalFormatting>
  <conditionalFormatting sqref="F885">
    <cfRule type="expression" dxfId="918" priority="1075">
      <formula>"="</formula>
    </cfRule>
  </conditionalFormatting>
  <conditionalFormatting sqref="F886">
    <cfRule type="expression" dxfId="917" priority="1074">
      <formula>"="</formula>
    </cfRule>
  </conditionalFormatting>
  <conditionalFormatting sqref="F887">
    <cfRule type="expression" dxfId="916" priority="1073">
      <formula>"="</formula>
    </cfRule>
  </conditionalFormatting>
  <conditionalFormatting sqref="F888">
    <cfRule type="expression" dxfId="915" priority="1072">
      <formula>"="</formula>
    </cfRule>
  </conditionalFormatting>
  <conditionalFormatting sqref="F880">
    <cfRule type="expression" dxfId="914" priority="1071">
      <formula>"="</formula>
    </cfRule>
  </conditionalFormatting>
  <conditionalFormatting sqref="F881">
    <cfRule type="expression" dxfId="913" priority="1070">
      <formula>"="</formula>
    </cfRule>
  </conditionalFormatting>
  <conditionalFormatting sqref="F892">
    <cfRule type="expression" dxfId="912" priority="1069">
      <formula>"="</formula>
    </cfRule>
  </conditionalFormatting>
  <conditionalFormatting sqref="F893">
    <cfRule type="expression" dxfId="911" priority="1068">
      <formula>"="</formula>
    </cfRule>
  </conditionalFormatting>
  <conditionalFormatting sqref="F894">
    <cfRule type="expression" dxfId="910" priority="1067">
      <formula>"="</formula>
    </cfRule>
  </conditionalFormatting>
  <conditionalFormatting sqref="F895">
    <cfRule type="expression" dxfId="909" priority="1066">
      <formula>"="</formula>
    </cfRule>
  </conditionalFormatting>
  <conditionalFormatting sqref="F896">
    <cfRule type="expression" dxfId="908" priority="1065">
      <formula>"="</formula>
    </cfRule>
  </conditionalFormatting>
  <conditionalFormatting sqref="F897">
    <cfRule type="expression" dxfId="907" priority="1064">
      <formula>"="</formula>
    </cfRule>
  </conditionalFormatting>
  <conditionalFormatting sqref="F898">
    <cfRule type="expression" dxfId="906" priority="1063">
      <formula>"="</formula>
    </cfRule>
  </conditionalFormatting>
  <conditionalFormatting sqref="F899">
    <cfRule type="expression" dxfId="905" priority="1062">
      <formula>"="</formula>
    </cfRule>
  </conditionalFormatting>
  <conditionalFormatting sqref="F900">
    <cfRule type="expression" dxfId="904" priority="1061">
      <formula>"="</formula>
    </cfRule>
  </conditionalFormatting>
  <conditionalFormatting sqref="F901">
    <cfRule type="expression" dxfId="903" priority="1060">
      <formula>"="</formula>
    </cfRule>
  </conditionalFormatting>
  <conditionalFormatting sqref="F915">
    <cfRule type="expression" dxfId="902" priority="1059">
      <formula>"="</formula>
    </cfRule>
  </conditionalFormatting>
  <conditionalFormatting sqref="F916">
    <cfRule type="expression" dxfId="901" priority="1058">
      <formula>"="</formula>
    </cfRule>
  </conditionalFormatting>
  <conditionalFormatting sqref="F905">
    <cfRule type="expression" dxfId="900" priority="1057">
      <formula>"="</formula>
    </cfRule>
  </conditionalFormatting>
  <conditionalFormatting sqref="F906">
    <cfRule type="expression" dxfId="899" priority="1056">
      <formula>"="</formula>
    </cfRule>
  </conditionalFormatting>
  <conditionalFormatting sqref="F907">
    <cfRule type="expression" dxfId="898" priority="1055">
      <formula>"="</formula>
    </cfRule>
  </conditionalFormatting>
  <conditionalFormatting sqref="F908">
    <cfRule type="expression" dxfId="897" priority="1054">
      <formula>"="</formula>
    </cfRule>
  </conditionalFormatting>
  <conditionalFormatting sqref="F909">
    <cfRule type="expression" dxfId="896" priority="1053">
      <formula>"="</formula>
    </cfRule>
  </conditionalFormatting>
  <conditionalFormatting sqref="F910">
    <cfRule type="expression" dxfId="895" priority="1052">
      <formula>"="</formula>
    </cfRule>
  </conditionalFormatting>
  <conditionalFormatting sqref="F911">
    <cfRule type="expression" dxfId="894" priority="1051">
      <formula>"="</formula>
    </cfRule>
  </conditionalFormatting>
  <conditionalFormatting sqref="F912">
    <cfRule type="expression" dxfId="893" priority="1050">
      <formula>"="</formula>
    </cfRule>
  </conditionalFormatting>
  <conditionalFormatting sqref="F913">
    <cfRule type="expression" dxfId="892" priority="1049">
      <formula>"="</formula>
    </cfRule>
  </conditionalFormatting>
  <conditionalFormatting sqref="F914">
    <cfRule type="expression" dxfId="891" priority="1048">
      <formula>"="</formula>
    </cfRule>
  </conditionalFormatting>
  <conditionalFormatting sqref="I478">
    <cfRule type="expression" dxfId="890" priority="1047">
      <formula>"="</formula>
    </cfRule>
  </conditionalFormatting>
  <conditionalFormatting sqref="I480">
    <cfRule type="expression" dxfId="889" priority="1046">
      <formula>"="</formula>
    </cfRule>
  </conditionalFormatting>
  <conditionalFormatting sqref="I482">
    <cfRule type="expression" dxfId="888" priority="1045">
      <formula>"="</formula>
    </cfRule>
  </conditionalFormatting>
  <conditionalFormatting sqref="I484">
    <cfRule type="expression" dxfId="887" priority="1044">
      <formula>"="</formula>
    </cfRule>
  </conditionalFormatting>
  <conditionalFormatting sqref="I486">
    <cfRule type="expression" dxfId="886" priority="1043">
      <formula>"="</formula>
    </cfRule>
  </conditionalFormatting>
  <conditionalFormatting sqref="I488">
    <cfRule type="expression" dxfId="885" priority="1042">
      <formula>"="</formula>
    </cfRule>
  </conditionalFormatting>
  <conditionalFormatting sqref="I490">
    <cfRule type="expression" dxfId="884" priority="1041">
      <formula>"="</formula>
    </cfRule>
  </conditionalFormatting>
  <conditionalFormatting sqref="I492">
    <cfRule type="expression" dxfId="883" priority="1040">
      <formula>"="</formula>
    </cfRule>
  </conditionalFormatting>
  <conditionalFormatting sqref="I494">
    <cfRule type="expression" dxfId="882" priority="1039">
      <formula>"="</formula>
    </cfRule>
  </conditionalFormatting>
  <conditionalFormatting sqref="I496">
    <cfRule type="expression" dxfId="881" priority="1038">
      <formula>"="</formula>
    </cfRule>
  </conditionalFormatting>
  <conditionalFormatting sqref="I498">
    <cfRule type="expression" dxfId="880" priority="1037">
      <formula>"="</formula>
    </cfRule>
  </conditionalFormatting>
  <conditionalFormatting sqref="I500">
    <cfRule type="expression" dxfId="879" priority="1036">
      <formula>"="</formula>
    </cfRule>
  </conditionalFormatting>
  <conditionalFormatting sqref="I502">
    <cfRule type="expression" dxfId="878" priority="1035">
      <formula>"="</formula>
    </cfRule>
  </conditionalFormatting>
  <conditionalFormatting sqref="F456">
    <cfRule type="expression" dxfId="877" priority="1034">
      <formula>"="</formula>
    </cfRule>
  </conditionalFormatting>
  <conditionalFormatting sqref="D585:D593">
    <cfRule type="expression" dxfId="876" priority="1033">
      <formula>"="</formula>
    </cfRule>
  </conditionalFormatting>
  <conditionalFormatting sqref="D585:D593">
    <cfRule type="expression" dxfId="875" priority="1032">
      <formula>"="</formula>
    </cfRule>
  </conditionalFormatting>
  <conditionalFormatting sqref="G890">
    <cfRule type="expression" dxfId="874" priority="1031">
      <formula>"="</formula>
    </cfRule>
  </conditionalFormatting>
  <conditionalFormatting sqref="H890:H891">
    <cfRule type="expression" dxfId="873" priority="1030">
      <formula>"="</formula>
    </cfRule>
  </conditionalFormatting>
  <conditionalFormatting sqref="F890">
    <cfRule type="expression" dxfId="872" priority="1029">
      <formula>"="</formula>
    </cfRule>
  </conditionalFormatting>
  <conditionalFormatting sqref="E890">
    <cfRule type="expression" dxfId="871" priority="1028">
      <formula>"="</formula>
    </cfRule>
  </conditionalFormatting>
  <conditionalFormatting sqref="I890">
    <cfRule type="expression" dxfId="870" priority="1027">
      <formula>"="</formula>
    </cfRule>
  </conditionalFormatting>
  <conditionalFormatting sqref="I890">
    <cfRule type="expression" dxfId="869" priority="1026">
      <formula>"="</formula>
    </cfRule>
  </conditionalFormatting>
  <conditionalFormatting sqref="D890">
    <cfRule type="expression" dxfId="868" priority="1025">
      <formula>"="</formula>
    </cfRule>
  </conditionalFormatting>
  <conditionalFormatting sqref="D890">
    <cfRule type="expression" dxfId="867" priority="1024">
      <formula>"="</formula>
    </cfRule>
  </conditionalFormatting>
  <conditionalFormatting sqref="H878:H879">
    <cfRule type="expression" dxfId="866" priority="1022">
      <formula>"="</formula>
    </cfRule>
  </conditionalFormatting>
  <conditionalFormatting sqref="G878">
    <cfRule type="expression" dxfId="865" priority="1023">
      <formula>"="</formula>
    </cfRule>
  </conditionalFormatting>
  <conditionalFormatting sqref="F878">
    <cfRule type="expression" dxfId="864" priority="1021">
      <formula>"="</formula>
    </cfRule>
  </conditionalFormatting>
  <conditionalFormatting sqref="E878">
    <cfRule type="expression" dxfId="863" priority="1020">
      <formula>"="</formula>
    </cfRule>
  </conditionalFormatting>
  <conditionalFormatting sqref="I878">
    <cfRule type="expression" dxfId="862" priority="1019">
      <formula>"="</formula>
    </cfRule>
  </conditionalFormatting>
  <conditionalFormatting sqref="I878">
    <cfRule type="expression" dxfId="861" priority="1018">
      <formula>"="</formula>
    </cfRule>
  </conditionalFormatting>
  <conditionalFormatting sqref="D878">
    <cfRule type="expression" dxfId="860" priority="1017">
      <formula>"="</formula>
    </cfRule>
  </conditionalFormatting>
  <conditionalFormatting sqref="D878">
    <cfRule type="expression" dxfId="859" priority="1016">
      <formula>"="</formula>
    </cfRule>
  </conditionalFormatting>
  <conditionalFormatting sqref="D760">
    <cfRule type="expression" dxfId="858" priority="1015">
      <formula>"="</formula>
    </cfRule>
  </conditionalFormatting>
  <conditionalFormatting sqref="D760">
    <cfRule type="expression" dxfId="857" priority="1014">
      <formula>"="</formula>
    </cfRule>
  </conditionalFormatting>
  <conditionalFormatting sqref="I760">
    <cfRule type="expression" dxfId="856" priority="1013">
      <formula>"="</formula>
    </cfRule>
  </conditionalFormatting>
  <conditionalFormatting sqref="D723">
    <cfRule type="expression" dxfId="855" priority="1012">
      <formula>"="</formula>
    </cfRule>
  </conditionalFormatting>
  <conditionalFormatting sqref="D723">
    <cfRule type="expression" dxfId="854" priority="1011">
      <formula>"="</formula>
    </cfRule>
  </conditionalFormatting>
  <conditionalFormatting sqref="I723">
    <cfRule type="expression" dxfId="853" priority="1010">
      <formula>"="</formula>
    </cfRule>
  </conditionalFormatting>
  <conditionalFormatting sqref="D668">
    <cfRule type="expression" dxfId="852" priority="1009">
      <formula>"="</formula>
    </cfRule>
  </conditionalFormatting>
  <conditionalFormatting sqref="D668">
    <cfRule type="expression" dxfId="851" priority="1008">
      <formula>"="</formula>
    </cfRule>
  </conditionalFormatting>
  <conditionalFormatting sqref="I668">
    <cfRule type="expression" dxfId="850" priority="1007">
      <formula>"="</formula>
    </cfRule>
  </conditionalFormatting>
  <conditionalFormatting sqref="I649">
    <cfRule type="expression" dxfId="849" priority="1006">
      <formula>"="</formula>
    </cfRule>
  </conditionalFormatting>
  <conditionalFormatting sqref="D160">
    <cfRule type="expression" dxfId="848" priority="1001">
      <formula>"="</formula>
    </cfRule>
  </conditionalFormatting>
  <conditionalFormatting sqref="D160">
    <cfRule type="expression" dxfId="847" priority="1000">
      <formula>"="</formula>
    </cfRule>
  </conditionalFormatting>
  <conditionalFormatting sqref="E54">
    <cfRule type="expression" dxfId="846" priority="935">
      <formula>"="</formula>
    </cfRule>
  </conditionalFormatting>
  <conditionalFormatting sqref="D20">
    <cfRule type="expression" dxfId="845" priority="977">
      <formula>"="</formula>
    </cfRule>
  </conditionalFormatting>
  <conditionalFormatting sqref="H19:H20">
    <cfRule type="expression" dxfId="844" priority="978">
      <formula>"="</formula>
    </cfRule>
  </conditionalFormatting>
  <conditionalFormatting sqref="D8">
    <cfRule type="expression" dxfId="843" priority="996">
      <formula>"="</formula>
    </cfRule>
  </conditionalFormatting>
  <conditionalFormatting sqref="E36">
    <cfRule type="expression" dxfId="842" priority="969">
      <formula>"="</formula>
    </cfRule>
  </conditionalFormatting>
  <conditionalFormatting sqref="D20">
    <cfRule type="expression" dxfId="841" priority="976">
      <formula>"="</formula>
    </cfRule>
  </conditionalFormatting>
  <conditionalFormatting sqref="D225">
    <cfRule type="expression" dxfId="840" priority="998">
      <formula>"="</formula>
    </cfRule>
  </conditionalFormatting>
  <conditionalFormatting sqref="D225">
    <cfRule type="expression" dxfId="839" priority="997">
      <formula>"="</formula>
    </cfRule>
  </conditionalFormatting>
  <conditionalFormatting sqref="I225">
    <cfRule type="expression" dxfId="838" priority="999">
      <formula>"="</formula>
    </cfRule>
  </conditionalFormatting>
  <conditionalFormatting sqref="D649">
    <cfRule type="expression" dxfId="837" priority="987">
      <formula>"="</formula>
    </cfRule>
  </conditionalFormatting>
  <conditionalFormatting sqref="D649">
    <cfRule type="expression" dxfId="836" priority="986">
      <formula>"="</formula>
    </cfRule>
  </conditionalFormatting>
  <conditionalFormatting sqref="E19:E20">
    <cfRule type="expression" dxfId="835" priority="984">
      <formula>"="</formula>
    </cfRule>
  </conditionalFormatting>
  <conditionalFormatting sqref="I8">
    <cfRule type="expression" dxfId="834" priority="988">
      <formula>"="</formula>
    </cfRule>
  </conditionalFormatting>
  <conditionalFormatting sqref="G36">
    <cfRule type="expression" dxfId="833" priority="968">
      <formula>"="</formula>
    </cfRule>
  </conditionalFormatting>
  <conditionalFormatting sqref="B69:B70">
    <cfRule type="expression" dxfId="832" priority="930">
      <formula>"="</formula>
    </cfRule>
  </conditionalFormatting>
  <conditionalFormatting sqref="I20">
    <cfRule type="expression" dxfId="831" priority="975">
      <formula>"="</formula>
    </cfRule>
  </conditionalFormatting>
  <conditionalFormatting sqref="D8">
    <cfRule type="expression" dxfId="830" priority="995">
      <formula>"="</formula>
    </cfRule>
  </conditionalFormatting>
  <conditionalFormatting sqref="B27 I27 D27:E27 G27">
    <cfRule type="expression" dxfId="829" priority="972">
      <formula>"="</formula>
    </cfRule>
  </conditionalFormatting>
  <conditionalFormatting sqref="D877">
    <cfRule type="expression" dxfId="828" priority="994">
      <formula>"="</formula>
    </cfRule>
  </conditionalFormatting>
  <conditionalFormatting sqref="D877">
    <cfRule type="expression" dxfId="827" priority="993">
      <formula>"="</formula>
    </cfRule>
  </conditionalFormatting>
  <conditionalFormatting sqref="I877">
    <cfRule type="expression" dxfId="826" priority="992">
      <formula>"="</formula>
    </cfRule>
  </conditionalFormatting>
  <conditionalFormatting sqref="I877">
    <cfRule type="expression" dxfId="825" priority="991">
      <formula>"="</formula>
    </cfRule>
  </conditionalFormatting>
  <conditionalFormatting sqref="D889">
    <cfRule type="expression" dxfId="824" priority="990">
      <formula>"="</formula>
    </cfRule>
  </conditionalFormatting>
  <conditionalFormatting sqref="D889">
    <cfRule type="expression" dxfId="823" priority="989">
      <formula>"="</formula>
    </cfRule>
  </conditionalFormatting>
  <conditionalFormatting sqref="F46">
    <cfRule type="expression" dxfId="822" priority="952">
      <formula>"="</formula>
    </cfRule>
  </conditionalFormatting>
  <conditionalFormatting sqref="J27">
    <cfRule type="expression" dxfId="821" priority="974">
      <formula>"="</formula>
    </cfRule>
  </conditionalFormatting>
  <conditionalFormatting sqref="B37 I37 D37:E37 G37">
    <cfRule type="expression" dxfId="820" priority="959">
      <formula>"="</formula>
    </cfRule>
  </conditionalFormatting>
  <conditionalFormatting sqref="C27:C33">
    <cfRule type="expression" dxfId="819" priority="970">
      <formula>"="</formula>
    </cfRule>
  </conditionalFormatting>
  <conditionalFormatting sqref="I7">
    <cfRule type="expression" dxfId="818" priority="985">
      <formula>"="</formula>
    </cfRule>
  </conditionalFormatting>
  <conditionalFormatting sqref="I55">
    <cfRule type="expression" dxfId="817" priority="940">
      <formula>"="</formula>
    </cfRule>
  </conditionalFormatting>
  <conditionalFormatting sqref="C47:C53">
    <cfRule type="expression" dxfId="816" priority="942">
      <formula>"="</formula>
    </cfRule>
  </conditionalFormatting>
  <conditionalFormatting sqref="G19:G20">
    <cfRule type="expression" dxfId="815" priority="983">
      <formula>"="</formula>
    </cfRule>
  </conditionalFormatting>
  <conditionalFormatting sqref="F19">
    <cfRule type="expression" dxfId="814" priority="982">
      <formula>"="</formula>
    </cfRule>
  </conditionalFormatting>
  <conditionalFormatting sqref="F20">
    <cfRule type="expression" dxfId="813" priority="981">
      <formula>"="</formula>
    </cfRule>
  </conditionalFormatting>
  <conditionalFormatting sqref="D19">
    <cfRule type="expression" dxfId="812" priority="980">
      <formula>"="</formula>
    </cfRule>
  </conditionalFormatting>
  <conditionalFormatting sqref="D19">
    <cfRule type="expression" dxfId="811" priority="979">
      <formula>"="</formula>
    </cfRule>
  </conditionalFormatting>
  <conditionalFormatting sqref="B47 I47 D47:E47 G47">
    <cfRule type="expression" dxfId="810" priority="947">
      <formula>"="</formula>
    </cfRule>
  </conditionalFormatting>
  <conditionalFormatting sqref="B46">
    <cfRule type="expression" dxfId="809" priority="954">
      <formula>"="</formula>
    </cfRule>
  </conditionalFormatting>
  <conditionalFormatting sqref="D27 B27">
    <cfRule type="expression" dxfId="808" priority="971">
      <formula>"="</formula>
    </cfRule>
  </conditionalFormatting>
  <conditionalFormatting sqref="E102 G102">
    <cfRule type="expression" dxfId="807" priority="912">
      <formula>"="</formula>
    </cfRule>
  </conditionalFormatting>
  <conditionalFormatting sqref="F27">
    <cfRule type="expression" dxfId="806" priority="973">
      <formula>"="</formula>
    </cfRule>
  </conditionalFormatting>
  <conditionalFormatting sqref="I36">
    <cfRule type="expression" dxfId="805" priority="957">
      <formula>"="</formula>
    </cfRule>
  </conditionalFormatting>
  <conditionalFormatting sqref="D37 B37">
    <cfRule type="expression" dxfId="804" priority="958">
      <formula>"="</formula>
    </cfRule>
  </conditionalFormatting>
  <conditionalFormatting sqref="D46">
    <cfRule type="expression" dxfId="803" priority="951">
      <formula>"="</formula>
    </cfRule>
  </conditionalFormatting>
  <conditionalFormatting sqref="E46">
    <cfRule type="expression" dxfId="802" priority="956">
      <formula>"="</formula>
    </cfRule>
  </conditionalFormatting>
  <conditionalFormatting sqref="C37:C44">
    <cfRule type="expression" dxfId="801" priority="945">
      <formula>"="</formula>
    </cfRule>
  </conditionalFormatting>
  <conditionalFormatting sqref="B36">
    <cfRule type="expression" dxfId="800" priority="967">
      <formula>"="</formula>
    </cfRule>
  </conditionalFormatting>
  <conditionalFormatting sqref="B36">
    <cfRule type="expression" dxfId="799" priority="966">
      <formula>"="</formula>
    </cfRule>
  </conditionalFormatting>
  <conditionalFormatting sqref="F36">
    <cfRule type="expression" dxfId="798" priority="965">
      <formula>"="</formula>
    </cfRule>
  </conditionalFormatting>
  <conditionalFormatting sqref="D36">
    <cfRule type="expression" dxfId="797" priority="964">
      <formula>"="</formula>
    </cfRule>
  </conditionalFormatting>
  <conditionalFormatting sqref="D36">
    <cfRule type="expression" dxfId="796" priority="963">
      <formula>"="</formula>
    </cfRule>
  </conditionalFormatting>
  <conditionalFormatting sqref="H36:H37">
    <cfRule type="expression" dxfId="795" priority="962">
      <formula>"="</formula>
    </cfRule>
  </conditionalFormatting>
  <conditionalFormatting sqref="C36">
    <cfRule type="expression" dxfId="794" priority="961">
      <formula>"="</formula>
    </cfRule>
  </conditionalFormatting>
  <conditionalFormatting sqref="F37">
    <cfRule type="expression" dxfId="793" priority="960">
      <formula>"="</formula>
    </cfRule>
  </conditionalFormatting>
  <conditionalFormatting sqref="G46">
    <cfRule type="expression" dxfId="792" priority="955">
      <formula>"="</formula>
    </cfRule>
  </conditionalFormatting>
  <conditionalFormatting sqref="I46">
    <cfRule type="expression" dxfId="791" priority="941">
      <formula>"="</formula>
    </cfRule>
  </conditionalFormatting>
  <conditionalFormatting sqref="I70">
    <cfRule type="expression" dxfId="790" priority="928">
      <formula>"="</formula>
    </cfRule>
  </conditionalFormatting>
  <conditionalFormatting sqref="C55">
    <cfRule type="expression" dxfId="789" priority="938">
      <formula>"="</formula>
    </cfRule>
  </conditionalFormatting>
  <conditionalFormatting sqref="C46">
    <cfRule type="expression" dxfId="788" priority="943">
      <formula>"="</formula>
    </cfRule>
  </conditionalFormatting>
  <conditionalFormatting sqref="B46">
    <cfRule type="expression" dxfId="787" priority="953">
      <formula>"="</formula>
    </cfRule>
  </conditionalFormatting>
  <conditionalFormatting sqref="C54">
    <cfRule type="expression" dxfId="786" priority="939">
      <formula>"="</formula>
    </cfRule>
  </conditionalFormatting>
  <conditionalFormatting sqref="D46">
    <cfRule type="expression" dxfId="785" priority="950">
      <formula>"="</formula>
    </cfRule>
  </conditionalFormatting>
  <conditionalFormatting sqref="H46:H47">
    <cfRule type="expression" dxfId="784" priority="949">
      <formula>"="</formula>
    </cfRule>
  </conditionalFormatting>
  <conditionalFormatting sqref="E69:E70">
    <cfRule type="expression" dxfId="783" priority="920">
      <formula>"="</formula>
    </cfRule>
  </conditionalFormatting>
  <conditionalFormatting sqref="F47">
    <cfRule type="expression" dxfId="782" priority="948">
      <formula>"="</formula>
    </cfRule>
  </conditionalFormatting>
  <conditionalFormatting sqref="D47 B47">
    <cfRule type="expression" dxfId="781" priority="946">
      <formula>"="</formula>
    </cfRule>
  </conditionalFormatting>
  <conditionalFormatting sqref="B69:B70">
    <cfRule type="expression" dxfId="780" priority="931">
      <formula>"="</formula>
    </cfRule>
  </conditionalFormatting>
  <conditionalFormatting sqref="D69:D70">
    <cfRule type="expression" dxfId="779" priority="925">
      <formula>"="</formula>
    </cfRule>
  </conditionalFormatting>
  <conditionalFormatting sqref="C78">
    <cfRule type="expression" dxfId="778" priority="918">
      <formula>"="</formula>
    </cfRule>
  </conditionalFormatting>
  <conditionalFormatting sqref="C45">
    <cfRule type="expression" dxfId="777" priority="944">
      <formula>"="</formula>
    </cfRule>
  </conditionalFormatting>
  <conditionalFormatting sqref="C69">
    <cfRule type="expression" dxfId="776" priority="922">
      <formula>"="</formula>
    </cfRule>
  </conditionalFormatting>
  <conditionalFormatting sqref="C70">
    <cfRule type="expression" dxfId="775" priority="921">
      <formula>"="</formula>
    </cfRule>
  </conditionalFormatting>
  <conditionalFormatting sqref="E55:E56">
    <cfRule type="expression" dxfId="774" priority="936">
      <formula>"="</formula>
    </cfRule>
  </conditionalFormatting>
  <conditionalFormatting sqref="C110 C112 C114">
    <cfRule type="expression" dxfId="773" priority="883">
      <formula>"="</formula>
    </cfRule>
  </conditionalFormatting>
  <conditionalFormatting sqref="C81 C83 C85 C87 C89 C91 C93 C95 C98">
    <cfRule type="expression" dxfId="772" priority="917">
      <formula>"="</formula>
    </cfRule>
  </conditionalFormatting>
  <conditionalFormatting sqref="C56:C67">
    <cfRule type="expression" dxfId="771" priority="937">
      <formula>"="</formula>
    </cfRule>
  </conditionalFormatting>
  <conditionalFormatting sqref="C68">
    <cfRule type="expression" dxfId="770" priority="934">
      <formula>"="</formula>
    </cfRule>
  </conditionalFormatting>
  <conditionalFormatting sqref="D80">
    <cfRule type="expression" dxfId="769" priority="914">
      <formula>"="</formula>
    </cfRule>
  </conditionalFormatting>
  <conditionalFormatting sqref="C71 C73:C77">
    <cfRule type="expression" dxfId="768" priority="933">
      <formula>"="</formula>
    </cfRule>
  </conditionalFormatting>
  <conditionalFormatting sqref="G69:G70">
    <cfRule type="expression" dxfId="767" priority="932">
      <formula>"="</formula>
    </cfRule>
  </conditionalFormatting>
  <conditionalFormatting sqref="D109:E109 B109 H109:H110 G109">
    <cfRule type="expression" dxfId="766" priority="895">
      <formula>"="</formula>
    </cfRule>
  </conditionalFormatting>
  <conditionalFormatting sqref="H69:H70">
    <cfRule type="expression" dxfId="765" priority="929">
      <formula>"="</formula>
    </cfRule>
  </conditionalFormatting>
  <conditionalFormatting sqref="F69">
    <cfRule type="expression" dxfId="764" priority="927">
      <formula>"="</formula>
    </cfRule>
  </conditionalFormatting>
  <conditionalFormatting sqref="F70">
    <cfRule type="expression" dxfId="763" priority="926">
      <formula>"="</formula>
    </cfRule>
  </conditionalFormatting>
  <conditionalFormatting sqref="C103 C105 C107">
    <cfRule type="expression" dxfId="762" priority="889">
      <formula>"="</formula>
    </cfRule>
  </conditionalFormatting>
  <conditionalFormatting sqref="D69:D70">
    <cfRule type="expression" dxfId="761" priority="924">
      <formula>"="</formula>
    </cfRule>
  </conditionalFormatting>
  <conditionalFormatting sqref="C79">
    <cfRule type="expression" dxfId="760" priority="916">
      <formula>"="</formula>
    </cfRule>
  </conditionalFormatting>
  <conditionalFormatting sqref="C80 C82 C84 C86 C88 C90 C92 C94 C96 C99">
    <cfRule type="expression" dxfId="759" priority="915">
      <formula>"="</formula>
    </cfRule>
  </conditionalFormatting>
  <conditionalFormatting sqref="C109">
    <cfRule type="expression" dxfId="758" priority="884">
      <formula>"="</formula>
    </cfRule>
  </conditionalFormatting>
  <conditionalFormatting sqref="D80">
    <cfRule type="expression" dxfId="757" priority="913">
      <formula>"="</formula>
    </cfRule>
  </conditionalFormatting>
  <conditionalFormatting sqref="F102">
    <cfRule type="expression" dxfId="756" priority="909">
      <formula>"="</formula>
    </cfRule>
  </conditionalFormatting>
  <conditionalFormatting sqref="I102">
    <cfRule type="expression" dxfId="755" priority="908">
      <formula>"="</formula>
    </cfRule>
  </conditionalFormatting>
  <conditionalFormatting sqref="F101">
    <cfRule type="expression" dxfId="754" priority="907">
      <formula>"="</formula>
    </cfRule>
  </conditionalFormatting>
  <conditionalFormatting sqref="D101:E101 H101:H102 G101 B101:B106">
    <cfRule type="expression" dxfId="753" priority="906">
      <formula>"="</formula>
    </cfRule>
  </conditionalFormatting>
  <conditionalFormatting sqref="D101 B101:B106">
    <cfRule type="expression" dxfId="752" priority="905">
      <formula>"="</formula>
    </cfRule>
  </conditionalFormatting>
  <conditionalFormatting sqref="D102">
    <cfRule type="expression" dxfId="751" priority="904">
      <formula>"="</formula>
    </cfRule>
  </conditionalFormatting>
  <conditionalFormatting sqref="C101">
    <cfRule type="expression" dxfId="750" priority="888">
      <formula>"="</formula>
    </cfRule>
  </conditionalFormatting>
  <conditionalFormatting sqref="C102 C104 C106">
    <cfRule type="expression" dxfId="749" priority="887">
      <formula>"="</formula>
    </cfRule>
  </conditionalFormatting>
  <conditionalFormatting sqref="D102">
    <cfRule type="expression" dxfId="748" priority="903">
      <formula>"="</formula>
    </cfRule>
  </conditionalFormatting>
  <conditionalFormatting sqref="E110 G110">
    <cfRule type="expression" dxfId="747" priority="901">
      <formula>"="</formula>
    </cfRule>
  </conditionalFormatting>
  <conditionalFormatting sqref="B110">
    <cfRule type="expression" dxfId="746" priority="900">
      <formula>"="</formula>
    </cfRule>
  </conditionalFormatting>
  <conditionalFormatting sqref="B110">
    <cfRule type="expression" dxfId="745" priority="899">
      <formula>"="</formula>
    </cfRule>
  </conditionalFormatting>
  <conditionalFormatting sqref="F110">
    <cfRule type="expression" dxfId="744" priority="898">
      <formula>"="</formula>
    </cfRule>
  </conditionalFormatting>
  <conditionalFormatting sqref="I110">
    <cfRule type="expression" dxfId="743" priority="897">
      <formula>"="</formula>
    </cfRule>
  </conditionalFormatting>
  <conditionalFormatting sqref="F109">
    <cfRule type="expression" dxfId="742" priority="896">
      <formula>"="</formula>
    </cfRule>
  </conditionalFormatting>
  <conditionalFormatting sqref="D109 B109">
    <cfRule type="expression" dxfId="741" priority="894">
      <formula>"="</formula>
    </cfRule>
  </conditionalFormatting>
  <conditionalFormatting sqref="D171:E171 B171 H171:H172 G171">
    <cfRule type="expression" dxfId="740" priority="835">
      <formula>"="</formula>
    </cfRule>
  </conditionalFormatting>
  <conditionalFormatting sqref="D110">
    <cfRule type="expression" dxfId="739" priority="893">
      <formula>"="</formula>
    </cfRule>
  </conditionalFormatting>
  <conditionalFormatting sqref="D110">
    <cfRule type="expression" dxfId="738" priority="892">
      <formula>"="</formula>
    </cfRule>
  </conditionalFormatting>
  <conditionalFormatting sqref="C100">
    <cfRule type="expression" dxfId="737" priority="890">
      <formula>"="</formula>
    </cfRule>
  </conditionalFormatting>
  <conditionalFormatting sqref="C108">
    <cfRule type="expression" dxfId="736" priority="886">
      <formula>"="</formula>
    </cfRule>
  </conditionalFormatting>
  <conditionalFormatting sqref="C111 C113 C115">
    <cfRule type="expression" dxfId="735" priority="885">
      <formula>"="</formula>
    </cfRule>
  </conditionalFormatting>
  <conditionalFormatting sqref="C120 C122 C124 C126 C128 C130">
    <cfRule type="expression" dxfId="734" priority="880">
      <formula>"="</formula>
    </cfRule>
  </conditionalFormatting>
  <conditionalFormatting sqref="C143">
    <cfRule type="expression" dxfId="733" priority="849">
      <formula>"="</formula>
    </cfRule>
  </conditionalFormatting>
  <conditionalFormatting sqref="C116">
    <cfRule type="expression" dxfId="732" priority="882">
      <formula>"="</formula>
    </cfRule>
  </conditionalFormatting>
  <conditionalFormatting sqref="C119 C123 C125 C127 C129 C131">
    <cfRule type="expression" dxfId="731" priority="881">
      <formula>"="</formula>
    </cfRule>
  </conditionalFormatting>
  <conditionalFormatting sqref="C118">
    <cfRule type="expression" dxfId="730" priority="867">
      <formula>"="</formula>
    </cfRule>
  </conditionalFormatting>
  <conditionalFormatting sqref="D117:E117 B117 H117:H118 G117">
    <cfRule type="expression" dxfId="729" priority="873">
      <formula>"="</formula>
    </cfRule>
  </conditionalFormatting>
  <conditionalFormatting sqref="C117">
    <cfRule type="expression" dxfId="728" priority="868">
      <formula>"="</formula>
    </cfRule>
  </conditionalFormatting>
  <conditionalFormatting sqref="E118 G118">
    <cfRule type="expression" dxfId="727" priority="879">
      <formula>"="</formula>
    </cfRule>
  </conditionalFormatting>
  <conditionalFormatting sqref="F118">
    <cfRule type="expression" dxfId="726" priority="876">
      <formula>"="</formula>
    </cfRule>
  </conditionalFormatting>
  <conditionalFormatting sqref="I118">
    <cfRule type="expression" dxfId="725" priority="875">
      <formula>"="</formula>
    </cfRule>
  </conditionalFormatting>
  <conditionalFormatting sqref="F117">
    <cfRule type="expression" dxfId="724" priority="874">
      <formula>"="</formula>
    </cfRule>
  </conditionalFormatting>
  <conditionalFormatting sqref="D117 B117">
    <cfRule type="expression" dxfId="723" priority="872">
      <formula>"="</formula>
    </cfRule>
  </conditionalFormatting>
  <conditionalFormatting sqref="D118">
    <cfRule type="expression" dxfId="722" priority="871">
      <formula>"="</formula>
    </cfRule>
  </conditionalFormatting>
  <conditionalFormatting sqref="D118">
    <cfRule type="expression" dxfId="721" priority="870">
      <formula>"="</formula>
    </cfRule>
  </conditionalFormatting>
  <conditionalFormatting sqref="I143">
    <cfRule type="expression" dxfId="720" priority="856">
      <formula>"="</formula>
    </cfRule>
  </conditionalFormatting>
  <conditionalFormatting sqref="C171">
    <cfRule type="expression" dxfId="719" priority="830">
      <formula>"="</formula>
    </cfRule>
  </conditionalFormatting>
  <conditionalFormatting sqref="D144">
    <cfRule type="expression" dxfId="718" priority="858">
      <formula>"="</formula>
    </cfRule>
  </conditionalFormatting>
  <conditionalFormatting sqref="I144">
    <cfRule type="expression" dxfId="717" priority="862">
      <formula>"="</formula>
    </cfRule>
  </conditionalFormatting>
  <conditionalFormatting sqref="I159">
    <cfRule type="expression" dxfId="716" priority="852">
      <formula>"="</formula>
    </cfRule>
  </conditionalFormatting>
  <conditionalFormatting sqref="C160 C162 C164 C166 C168">
    <cfRule type="expression" dxfId="715" priority="844">
      <formula>"="</formula>
    </cfRule>
  </conditionalFormatting>
  <conditionalFormatting sqref="C159">
    <cfRule type="expression" dxfId="714" priority="845">
      <formula>"="</formula>
    </cfRule>
  </conditionalFormatting>
  <conditionalFormatting sqref="B172">
    <cfRule type="expression" dxfId="713" priority="840">
      <formula>"="</formula>
    </cfRule>
  </conditionalFormatting>
  <conditionalFormatting sqref="D143:E143 B143 H143:H144 G143">
    <cfRule type="expression" dxfId="712" priority="860">
      <formula>"="</formula>
    </cfRule>
  </conditionalFormatting>
  <conditionalFormatting sqref="D159:E159 B159 H159:H160 G159">
    <cfRule type="expression" dxfId="711" priority="854">
      <formula>"="</formula>
    </cfRule>
  </conditionalFormatting>
  <conditionalFormatting sqref="E144 G144">
    <cfRule type="expression" dxfId="710" priority="866">
      <formula>"="</formula>
    </cfRule>
  </conditionalFormatting>
  <conditionalFormatting sqref="B144">
    <cfRule type="expression" dxfId="709" priority="865">
      <formula>"="</formula>
    </cfRule>
  </conditionalFormatting>
  <conditionalFormatting sqref="B144">
    <cfRule type="expression" dxfId="708" priority="864">
      <formula>"="</formula>
    </cfRule>
  </conditionalFormatting>
  <conditionalFormatting sqref="F144">
    <cfRule type="expression" dxfId="707" priority="863">
      <formula>"="</formula>
    </cfRule>
  </conditionalFormatting>
  <conditionalFormatting sqref="C172 C174 C176 C178 C180 C182 C184">
    <cfRule type="expression" dxfId="706" priority="829">
      <formula>"="</formula>
    </cfRule>
  </conditionalFormatting>
  <conditionalFormatting sqref="F143">
    <cfRule type="expression" dxfId="705" priority="861">
      <formula>"="</formula>
    </cfRule>
  </conditionalFormatting>
  <conditionalFormatting sqref="D143 B143">
    <cfRule type="expression" dxfId="704" priority="859">
      <formula>"="</formula>
    </cfRule>
  </conditionalFormatting>
  <conditionalFormatting sqref="D144">
    <cfRule type="expression" dxfId="703" priority="857">
      <formula>"="</formula>
    </cfRule>
  </conditionalFormatting>
  <conditionalFormatting sqref="C216">
    <cfRule type="expression" dxfId="702" priority="784">
      <formula>"="</formula>
    </cfRule>
  </conditionalFormatting>
  <conditionalFormatting sqref="I172">
    <cfRule type="expression" dxfId="701" priority="841">
      <formula>"="</formula>
    </cfRule>
  </conditionalFormatting>
  <conditionalFormatting sqref="B209">
    <cfRule type="expression" dxfId="700" priority="808">
      <formula>"="</formula>
    </cfRule>
  </conditionalFormatting>
  <conditionalFormatting sqref="C161 C165 C167 C169">
    <cfRule type="expression" dxfId="699" priority="846">
      <formula>"="</formula>
    </cfRule>
  </conditionalFormatting>
  <conditionalFormatting sqref="E200 G200">
    <cfRule type="expression" dxfId="698" priority="824">
      <formula>"="</formula>
    </cfRule>
  </conditionalFormatting>
  <conditionalFormatting sqref="D172">
    <cfRule type="expression" dxfId="697" priority="838">
      <formula>"="</formula>
    </cfRule>
  </conditionalFormatting>
  <conditionalFormatting sqref="D172">
    <cfRule type="expression" dxfId="696" priority="837">
      <formula>"="</formula>
    </cfRule>
  </conditionalFormatting>
  <conditionalFormatting sqref="F171">
    <cfRule type="expression" dxfId="695" priority="836">
      <formula>"="</formula>
    </cfRule>
  </conditionalFormatting>
  <conditionalFormatting sqref="F159">
    <cfRule type="expression" dxfId="694" priority="855">
      <formula>"="</formula>
    </cfRule>
  </conditionalFormatting>
  <conditionalFormatting sqref="D159 B159">
    <cfRule type="expression" dxfId="693" priority="853">
      <formula>"="</formula>
    </cfRule>
  </conditionalFormatting>
  <conditionalFormatting sqref="C144 C146 C148 C150 C152 C154 C156">
    <cfRule type="expression" dxfId="692" priority="848">
      <formula>"="</formula>
    </cfRule>
  </conditionalFormatting>
  <conditionalFormatting sqref="D199 B199">
    <cfRule type="expression" dxfId="691" priority="815">
      <formula>"="</formula>
    </cfRule>
  </conditionalFormatting>
  <conditionalFormatting sqref="C142">
    <cfRule type="expression" dxfId="690" priority="851">
      <formula>"="</formula>
    </cfRule>
  </conditionalFormatting>
  <conditionalFormatting sqref="C145 C147 C149 C151 C153 C155 C157">
    <cfRule type="expression" dxfId="689" priority="850">
      <formula>"="</formula>
    </cfRule>
  </conditionalFormatting>
  <conditionalFormatting sqref="D199:E199 B199 H200 G199:I199">
    <cfRule type="expression" dxfId="688" priority="816">
      <formula>"="</formula>
    </cfRule>
  </conditionalFormatting>
  <conditionalFormatting sqref="C158">
    <cfRule type="expression" dxfId="687" priority="847">
      <formula>"="</formula>
    </cfRule>
  </conditionalFormatting>
  <conditionalFormatting sqref="C173 C175 C177 C179 C181 C183 C185">
    <cfRule type="expression" dxfId="686" priority="831">
      <formula>"="</formula>
    </cfRule>
  </conditionalFormatting>
  <conditionalFormatting sqref="C188 C190 C192 C194 C196">
    <cfRule type="expression" dxfId="685" priority="825">
      <formula>"="</formula>
    </cfRule>
  </conditionalFormatting>
  <conditionalFormatting sqref="C187">
    <cfRule type="expression" dxfId="684" priority="826">
      <formula>"="</formula>
    </cfRule>
  </conditionalFormatting>
  <conditionalFormatting sqref="E172 G172">
    <cfRule type="expression" dxfId="683" priority="843">
      <formula>"="</formula>
    </cfRule>
  </conditionalFormatting>
  <conditionalFormatting sqref="F172">
    <cfRule type="expression" dxfId="682" priority="842">
      <formula>"="</formula>
    </cfRule>
  </conditionalFormatting>
  <conditionalFormatting sqref="C201 C203 C205">
    <cfRule type="expression" dxfId="681" priority="793">
      <formula>"="</formula>
    </cfRule>
  </conditionalFormatting>
  <conditionalFormatting sqref="C199">
    <cfRule type="expression" dxfId="680" priority="792">
      <formula>"="</formula>
    </cfRule>
  </conditionalFormatting>
  <conditionalFormatting sqref="B172">
    <cfRule type="expression" dxfId="679" priority="839">
      <formula>"="</formula>
    </cfRule>
  </conditionalFormatting>
  <conditionalFormatting sqref="I200">
    <cfRule type="expression" dxfId="678" priority="823">
      <formula>"="</formula>
    </cfRule>
  </conditionalFormatting>
  <conditionalFormatting sqref="I171">
    <cfRule type="expression" dxfId="677" priority="833">
      <formula>"="</formula>
    </cfRule>
  </conditionalFormatting>
  <conditionalFormatting sqref="C217 C219 C221">
    <cfRule type="expression" dxfId="676" priority="783">
      <formula>"="</formula>
    </cfRule>
  </conditionalFormatting>
  <conditionalFormatting sqref="J224">
    <cfRule type="expression" dxfId="675" priority="782">
      <formula>"="</formula>
    </cfRule>
  </conditionalFormatting>
  <conditionalFormatting sqref="D209">
    <cfRule type="expression" dxfId="674" priority="811">
      <formula>"="</formula>
    </cfRule>
  </conditionalFormatting>
  <conditionalFormatting sqref="F209">
    <cfRule type="expression" dxfId="673" priority="812">
      <formula>"="</formula>
    </cfRule>
  </conditionalFormatting>
  <conditionalFormatting sqref="D171 B171">
    <cfRule type="expression" dxfId="672" priority="834">
      <formula>"="</formula>
    </cfRule>
  </conditionalFormatting>
  <conditionalFormatting sqref="C189 C191 C193 C195 C197">
    <cfRule type="expression" dxfId="671" priority="827">
      <formula>"="</formula>
    </cfRule>
  </conditionalFormatting>
  <conditionalFormatting sqref="C170">
    <cfRule type="expression" dxfId="670" priority="832">
      <formula>"="</formula>
    </cfRule>
  </conditionalFormatting>
  <conditionalFormatting sqref="I235">
    <cfRule type="expression" dxfId="669" priority="773">
      <formula>"="</formula>
    </cfRule>
  </conditionalFormatting>
  <conditionalFormatting sqref="C186">
    <cfRule type="expression" dxfId="668" priority="828">
      <formula>"="</formula>
    </cfRule>
  </conditionalFormatting>
  <conditionalFormatting sqref="E209 G209">
    <cfRule type="expression" dxfId="667" priority="814">
      <formula>"="</formula>
    </cfRule>
  </conditionalFormatting>
  <conditionalFormatting sqref="F200">
    <cfRule type="expression" dxfId="666" priority="822">
      <formula>"="</formula>
    </cfRule>
  </conditionalFormatting>
  <conditionalFormatting sqref="D200">
    <cfRule type="expression" dxfId="665" priority="821">
      <formula>"="</formula>
    </cfRule>
  </conditionalFormatting>
  <conditionalFormatting sqref="D200">
    <cfRule type="expression" dxfId="664" priority="820">
      <formula>"="</formula>
    </cfRule>
  </conditionalFormatting>
  <conditionalFormatting sqref="F199">
    <cfRule type="expression" dxfId="663" priority="819">
      <formula>"="</formula>
    </cfRule>
  </conditionalFormatting>
  <conditionalFormatting sqref="B200">
    <cfRule type="expression" dxfId="662" priority="818">
      <formula>"="</formula>
    </cfRule>
  </conditionalFormatting>
  <conditionalFormatting sqref="B200">
    <cfRule type="expression" dxfId="661" priority="817">
      <formula>"="</formula>
    </cfRule>
  </conditionalFormatting>
  <conditionalFormatting sqref="D208 B208">
    <cfRule type="expression" dxfId="660" priority="805">
      <formula>"="</formula>
    </cfRule>
  </conditionalFormatting>
  <conditionalFormatting sqref="D208:E208 B208 H209 G208:I208">
    <cfRule type="expression" dxfId="659" priority="806">
      <formula>"="</formula>
    </cfRule>
  </conditionalFormatting>
  <conditionalFormatting sqref="I209">
    <cfRule type="expression" dxfId="658" priority="813">
      <formula>"="</formula>
    </cfRule>
  </conditionalFormatting>
  <conditionalFormatting sqref="D209">
    <cfRule type="expression" dxfId="657" priority="810">
      <formula>"="</formula>
    </cfRule>
  </conditionalFormatting>
  <conditionalFormatting sqref="F208">
    <cfRule type="expression" dxfId="656" priority="809">
      <formula>"="</formula>
    </cfRule>
  </conditionalFormatting>
  <conditionalFormatting sqref="B209">
    <cfRule type="expression" dxfId="655" priority="807">
      <formula>"="</formula>
    </cfRule>
  </conditionalFormatting>
  <conditionalFormatting sqref="B217">
    <cfRule type="expression" dxfId="654" priority="798">
      <formula>"="</formula>
    </cfRule>
  </conditionalFormatting>
  <conditionalFormatting sqref="D217">
    <cfRule type="expression" dxfId="653" priority="801">
      <formula>"="</formula>
    </cfRule>
  </conditionalFormatting>
  <conditionalFormatting sqref="F217">
    <cfRule type="expression" dxfId="652" priority="802">
      <formula>"="</formula>
    </cfRule>
  </conditionalFormatting>
  <conditionalFormatting sqref="E217 G217">
    <cfRule type="expression" dxfId="651" priority="804">
      <formula>"="</formula>
    </cfRule>
  </conditionalFormatting>
  <conditionalFormatting sqref="D216 B216">
    <cfRule type="expression" dxfId="650" priority="795">
      <formula>"="</formula>
    </cfRule>
  </conditionalFormatting>
  <conditionalFormatting sqref="D216:E216 B216 H217 G216:I216">
    <cfRule type="expression" dxfId="649" priority="796">
      <formula>"="</formula>
    </cfRule>
  </conditionalFormatting>
  <conditionalFormatting sqref="I217">
    <cfRule type="expression" dxfId="648" priority="803">
      <formula>"="</formula>
    </cfRule>
  </conditionalFormatting>
  <conditionalFormatting sqref="D217">
    <cfRule type="expression" dxfId="647" priority="800">
      <formula>"="</formula>
    </cfRule>
  </conditionalFormatting>
  <conditionalFormatting sqref="F216">
    <cfRule type="expression" dxfId="646" priority="799">
      <formula>"="</formula>
    </cfRule>
  </conditionalFormatting>
  <conditionalFormatting sqref="B217">
    <cfRule type="expression" dxfId="645" priority="797">
      <formula>"="</formula>
    </cfRule>
  </conditionalFormatting>
  <conditionalFormatting sqref="C200 C202 C204 C206">
    <cfRule type="expression" dxfId="644" priority="791">
      <formula>"="</formula>
    </cfRule>
  </conditionalFormatting>
  <conditionalFormatting sqref="C198">
    <cfRule type="expression" dxfId="643" priority="794">
      <formula>"="</formula>
    </cfRule>
  </conditionalFormatting>
  <conditionalFormatting sqref="C209 C211 C213">
    <cfRule type="expression" dxfId="642" priority="787">
      <formula>"="</formula>
    </cfRule>
  </conditionalFormatting>
  <conditionalFormatting sqref="C208">
    <cfRule type="expression" dxfId="641" priority="788">
      <formula>"="</formula>
    </cfRule>
  </conditionalFormatting>
  <conditionalFormatting sqref="C210 C212 C214">
    <cfRule type="expression" dxfId="640" priority="789">
      <formula>"="</formula>
    </cfRule>
  </conditionalFormatting>
  <conditionalFormatting sqref="C207">
    <cfRule type="expression" dxfId="639" priority="790">
      <formula>"="</formula>
    </cfRule>
  </conditionalFormatting>
  <conditionalFormatting sqref="C218 C220 C222">
    <cfRule type="expression" dxfId="638" priority="785">
      <formula>"="</formula>
    </cfRule>
  </conditionalFormatting>
  <conditionalFormatting sqref="C215">
    <cfRule type="expression" dxfId="637" priority="786">
      <formula>"="</formula>
    </cfRule>
  </conditionalFormatting>
  <conditionalFormatting sqref="D224 B224">
    <cfRule type="expression" dxfId="636" priority="779">
      <formula>"="</formula>
    </cfRule>
  </conditionalFormatting>
  <conditionalFormatting sqref="D224:E224 B224 H225 G224:I224">
    <cfRule type="expression" dxfId="635" priority="780">
      <formula>"="</formula>
    </cfRule>
  </conditionalFormatting>
  <conditionalFormatting sqref="F224">
    <cfRule type="expression" dxfId="634" priority="781">
      <formula>"="</formula>
    </cfRule>
  </conditionalFormatting>
  <conditionalFormatting sqref="B235">
    <cfRule type="expression" dxfId="633" priority="778">
      <formula>"="</formula>
    </cfRule>
  </conditionalFormatting>
  <conditionalFormatting sqref="B235">
    <cfRule type="expression" dxfId="632" priority="777">
      <formula>"="</formula>
    </cfRule>
  </conditionalFormatting>
  <conditionalFormatting sqref="E235 G235">
    <cfRule type="expression" dxfId="631" priority="776">
      <formula>"="</formula>
    </cfRule>
  </conditionalFormatting>
  <conditionalFormatting sqref="J235">
    <cfRule type="expression" dxfId="630" priority="775">
      <formula>"="</formula>
    </cfRule>
  </conditionalFormatting>
  <conditionalFormatting sqref="F235">
    <cfRule type="expression" dxfId="629" priority="774">
      <formula>"="</formula>
    </cfRule>
  </conditionalFormatting>
  <conditionalFormatting sqref="D235">
    <cfRule type="expression" dxfId="628" priority="772">
      <formula>"="</formula>
    </cfRule>
  </conditionalFormatting>
  <conditionalFormatting sqref="D235">
    <cfRule type="expression" dxfId="627" priority="771">
      <formula>"="</formula>
    </cfRule>
  </conditionalFormatting>
  <conditionalFormatting sqref="J234">
    <cfRule type="expression" dxfId="626" priority="770">
      <formula>"="</formula>
    </cfRule>
  </conditionalFormatting>
  <conditionalFormatting sqref="C225 C227 C229 C231">
    <cfRule type="expression" dxfId="625" priority="763">
      <formula>"="</formula>
    </cfRule>
  </conditionalFormatting>
  <conditionalFormatting sqref="D234 B234">
    <cfRule type="expression" dxfId="624" priority="767">
      <formula>"="</formula>
    </cfRule>
  </conditionalFormatting>
  <conditionalFormatting sqref="D234:E234 B234 H235 G234:I234">
    <cfRule type="expression" dxfId="623" priority="768">
      <formula>"="</formula>
    </cfRule>
  </conditionalFormatting>
  <conditionalFormatting sqref="F234">
    <cfRule type="expression" dxfId="622" priority="769">
      <formula>"="</formula>
    </cfRule>
  </conditionalFormatting>
  <conditionalFormatting sqref="C224">
    <cfRule type="expression" dxfId="621" priority="764">
      <formula>"="</formula>
    </cfRule>
  </conditionalFormatting>
  <conditionalFormatting sqref="C226 C228 C230 C232">
    <cfRule type="expression" dxfId="620" priority="765">
      <formula>"="</formula>
    </cfRule>
  </conditionalFormatting>
  <conditionalFormatting sqref="C223">
    <cfRule type="expression" dxfId="619" priority="766">
      <formula>"="</formula>
    </cfRule>
  </conditionalFormatting>
  <conditionalFormatting sqref="C234">
    <cfRule type="expression" dxfId="618" priority="760">
      <formula>"="</formula>
    </cfRule>
  </conditionalFormatting>
  <conditionalFormatting sqref="C235 C237 C239 C241 C243 C245 C247 C249 C251 C253">
    <cfRule type="expression" dxfId="617" priority="759">
      <formula>"="</formula>
    </cfRule>
  </conditionalFormatting>
  <conditionalFormatting sqref="C236 C238 C240 C242 C244 C246 C248 C250 C252 C254">
    <cfRule type="expression" dxfId="616" priority="761">
      <formula>"="</formula>
    </cfRule>
  </conditionalFormatting>
  <conditionalFormatting sqref="C233">
    <cfRule type="expression" dxfId="615" priority="762">
      <formula>"="</formula>
    </cfRule>
  </conditionalFormatting>
  <conditionalFormatting sqref="C256">
    <cfRule type="expression" dxfId="614" priority="756">
      <formula>"="</formula>
    </cfRule>
  </conditionalFormatting>
  <conditionalFormatting sqref="C257 C259 C261 C263 C265">
    <cfRule type="expression" dxfId="613" priority="755">
      <formula>"="</formula>
    </cfRule>
  </conditionalFormatting>
  <conditionalFormatting sqref="C258 C260 C262 C264 C266">
    <cfRule type="expression" dxfId="612" priority="757">
      <formula>"="</formula>
    </cfRule>
  </conditionalFormatting>
  <conditionalFormatting sqref="C255">
    <cfRule type="expression" dxfId="611" priority="758">
      <formula>"="</formula>
    </cfRule>
  </conditionalFormatting>
  <conditionalFormatting sqref="B268 D268:E268 G268:I268">
    <cfRule type="expression" dxfId="610" priority="754">
      <formula>"="</formula>
    </cfRule>
  </conditionalFormatting>
  <conditionalFormatting sqref="B268 D268:E268">
    <cfRule type="expression" dxfId="609" priority="753">
      <formula>"="</formula>
    </cfRule>
  </conditionalFormatting>
  <conditionalFormatting sqref="F268">
    <cfRule type="expression" dxfId="608" priority="752">
      <formula>"="</formula>
    </cfRule>
  </conditionalFormatting>
  <conditionalFormatting sqref="J268">
    <cfRule type="expression" dxfId="607" priority="751">
      <formula>"="</formula>
    </cfRule>
  </conditionalFormatting>
  <conditionalFormatting sqref="C268">
    <cfRule type="expression" dxfId="606" priority="748">
      <formula>"="</formula>
    </cfRule>
  </conditionalFormatting>
  <conditionalFormatting sqref="C269 C271 C273 C275 C277">
    <cfRule type="expression" dxfId="605" priority="747">
      <formula>"="</formula>
    </cfRule>
  </conditionalFormatting>
  <conditionalFormatting sqref="C270 C272 C274 C276 C278">
    <cfRule type="expression" dxfId="604" priority="749">
      <formula>"="</formula>
    </cfRule>
  </conditionalFormatting>
  <conditionalFormatting sqref="C267">
    <cfRule type="expression" dxfId="603" priority="750">
      <formula>"="</formula>
    </cfRule>
  </conditionalFormatting>
  <conditionalFormatting sqref="C281 C283 C285 C287 C289">
    <cfRule type="expression" dxfId="602" priority="744">
      <formula>"="</formula>
    </cfRule>
  </conditionalFormatting>
  <conditionalFormatting sqref="C282 C284 C286 C288 C290">
    <cfRule type="expression" dxfId="601" priority="745">
      <formula>"="</formula>
    </cfRule>
  </conditionalFormatting>
  <conditionalFormatting sqref="C279">
    <cfRule type="expression" dxfId="600" priority="746">
      <formula>"="</formula>
    </cfRule>
  </conditionalFormatting>
  <conditionalFormatting sqref="B280 D280:E280 G280:I280">
    <cfRule type="expression" dxfId="599" priority="743">
      <formula>"="</formula>
    </cfRule>
  </conditionalFormatting>
  <conditionalFormatting sqref="B280 D280:E280">
    <cfRule type="expression" dxfId="598" priority="742">
      <formula>"="</formula>
    </cfRule>
  </conditionalFormatting>
  <conditionalFormatting sqref="F280">
    <cfRule type="expression" dxfId="597" priority="741">
      <formula>"="</formula>
    </cfRule>
  </conditionalFormatting>
  <conditionalFormatting sqref="J280">
    <cfRule type="expression" dxfId="596" priority="740">
      <formula>"="</formula>
    </cfRule>
  </conditionalFormatting>
  <conditionalFormatting sqref="C280">
    <cfRule type="expression" dxfId="595" priority="739">
      <formula>"="</formula>
    </cfRule>
  </conditionalFormatting>
  <conditionalFormatting sqref="C305 C307:C308 C310:C311 C313:C314 C316:C317 C319:C320">
    <cfRule type="expression" dxfId="594" priority="736">
      <formula>"="</formula>
    </cfRule>
  </conditionalFormatting>
  <conditionalFormatting sqref="C306 C309 C312 C315 C318">
    <cfRule type="expression" dxfId="593" priority="737">
      <formula>"="</formula>
    </cfRule>
  </conditionalFormatting>
  <conditionalFormatting sqref="C303">
    <cfRule type="expression" dxfId="592" priority="738">
      <formula>"="</formula>
    </cfRule>
  </conditionalFormatting>
  <conditionalFormatting sqref="C304">
    <cfRule type="expression" dxfId="591" priority="731">
      <formula>"="</formula>
    </cfRule>
  </conditionalFormatting>
  <conditionalFormatting sqref="B304 D304:E304 G304:I304">
    <cfRule type="expression" dxfId="590" priority="735">
      <formula>"="</formula>
    </cfRule>
  </conditionalFormatting>
  <conditionalFormatting sqref="B304 D304:E304">
    <cfRule type="expression" dxfId="589" priority="734">
      <formula>"="</formula>
    </cfRule>
  </conditionalFormatting>
  <conditionalFormatting sqref="F304">
    <cfRule type="expression" dxfId="588" priority="733">
      <formula>"="</formula>
    </cfRule>
  </conditionalFormatting>
  <conditionalFormatting sqref="J304">
    <cfRule type="expression" dxfId="587" priority="732">
      <formula>"="</formula>
    </cfRule>
  </conditionalFormatting>
  <conditionalFormatting sqref="I340">
    <cfRule type="expression" dxfId="586" priority="714">
      <formula>"="</formula>
    </cfRule>
  </conditionalFormatting>
  <conditionalFormatting sqref="B322 D322:E322 G322:I322">
    <cfRule type="expression" dxfId="585" priority="722">
      <formula>"="</formula>
    </cfRule>
  </conditionalFormatting>
  <conditionalFormatting sqref="B322 D322:E322">
    <cfRule type="expression" dxfId="584" priority="721">
      <formula>"="</formula>
    </cfRule>
  </conditionalFormatting>
  <conditionalFormatting sqref="F322">
    <cfRule type="expression" dxfId="583" priority="720">
      <formula>"="</formula>
    </cfRule>
  </conditionalFormatting>
  <conditionalFormatting sqref="J322">
    <cfRule type="expression" dxfId="582" priority="719">
      <formula>"="</formula>
    </cfRule>
  </conditionalFormatting>
  <conditionalFormatting sqref="C323 C325 C327 C329 C331 C333 C335 C337">
    <cfRule type="expression" dxfId="581" priority="716">
      <formula>"="</formula>
    </cfRule>
  </conditionalFormatting>
  <conditionalFormatting sqref="C324 C326 C328 C330 C332 C334 C336 C338">
    <cfRule type="expression" dxfId="580" priority="717">
      <formula>"="</formula>
    </cfRule>
  </conditionalFormatting>
  <conditionalFormatting sqref="C321">
    <cfRule type="expression" dxfId="579" priority="718">
      <formula>"="</formula>
    </cfRule>
  </conditionalFormatting>
  <conditionalFormatting sqref="C322">
    <cfRule type="expression" dxfId="578" priority="715">
      <formula>"="</formula>
    </cfRule>
  </conditionalFormatting>
  <conditionalFormatting sqref="C341 C343 C345 C347 C349 C351 C353 C355">
    <cfRule type="expression" dxfId="577" priority="711">
      <formula>"="</formula>
    </cfRule>
  </conditionalFormatting>
  <conditionalFormatting sqref="C342 C344 C346 C348 C350 C352 C354 C356">
    <cfRule type="expression" dxfId="576" priority="712">
      <formula>"="</formula>
    </cfRule>
  </conditionalFormatting>
  <conditionalFormatting sqref="C339">
    <cfRule type="expression" dxfId="575" priority="713">
      <formula>"="</formula>
    </cfRule>
  </conditionalFormatting>
  <conditionalFormatting sqref="C340">
    <cfRule type="expression" dxfId="574" priority="710">
      <formula>"="</formula>
    </cfRule>
  </conditionalFormatting>
  <conditionalFormatting sqref="C377 C379 C381 C383 C385 C387 C389 C391">
    <cfRule type="expression" dxfId="573" priority="703">
      <formula>"="</formula>
    </cfRule>
  </conditionalFormatting>
  <conditionalFormatting sqref="C378 C380 C382 C384 C386 C388 C390 C392">
    <cfRule type="expression" dxfId="572" priority="704">
      <formula>"="</formula>
    </cfRule>
  </conditionalFormatting>
  <conditionalFormatting sqref="C375">
    <cfRule type="expression" dxfId="571" priority="705">
      <formula>"="</formula>
    </cfRule>
  </conditionalFormatting>
  <conditionalFormatting sqref="C376">
    <cfRule type="expression" dxfId="570" priority="702">
      <formula>"="</formula>
    </cfRule>
  </conditionalFormatting>
  <conditionalFormatting sqref="D395">
    <cfRule type="expression" dxfId="569" priority="697">
      <formula>"="</formula>
    </cfRule>
  </conditionalFormatting>
  <conditionalFormatting sqref="D395">
    <cfRule type="expression" dxfId="568" priority="696">
      <formula>"="</formula>
    </cfRule>
  </conditionalFormatting>
  <conditionalFormatting sqref="F395">
    <cfRule type="expression" dxfId="567" priority="695">
      <formula>"="</formula>
    </cfRule>
  </conditionalFormatting>
  <conditionalFormatting sqref="I395 E395 G395">
    <cfRule type="expression" dxfId="566" priority="694">
      <formula>"="</formula>
    </cfRule>
  </conditionalFormatting>
  <conditionalFormatting sqref="E395">
    <cfRule type="expression" dxfId="565" priority="693">
      <formula>"="</formula>
    </cfRule>
  </conditionalFormatting>
  <conditionalFormatting sqref="C395 C397 C399 C401 C403 C405 C407 C409 C411">
    <cfRule type="expression" dxfId="564" priority="690">
      <formula>"="</formula>
    </cfRule>
  </conditionalFormatting>
  <conditionalFormatting sqref="C396 C398 C400 C402 C404 C406 C408 C410">
    <cfRule type="expression" dxfId="563" priority="691">
      <formula>"="</formula>
    </cfRule>
  </conditionalFormatting>
  <conditionalFormatting sqref="C393">
    <cfRule type="expression" dxfId="562" priority="692">
      <formula>"="</formula>
    </cfRule>
  </conditionalFormatting>
  <conditionalFormatting sqref="C394">
    <cfRule type="expression" dxfId="561" priority="689">
      <formula>"="</formula>
    </cfRule>
  </conditionalFormatting>
  <conditionalFormatting sqref="D416">
    <cfRule type="expression" dxfId="560" priority="688">
      <formula>"="</formula>
    </cfRule>
  </conditionalFormatting>
  <conditionalFormatting sqref="D416">
    <cfRule type="expression" dxfId="559" priority="687">
      <formula>"="</formula>
    </cfRule>
  </conditionalFormatting>
  <conditionalFormatting sqref="H416">
    <cfRule type="expression" dxfId="558" priority="685">
      <formula>"="</formula>
    </cfRule>
  </conditionalFormatting>
  <conditionalFormatting sqref="G416">
    <cfRule type="expression" dxfId="557" priority="686">
      <formula>"="</formula>
    </cfRule>
  </conditionalFormatting>
  <conditionalFormatting sqref="I416">
    <cfRule type="expression" dxfId="556" priority="684">
      <formula>"="</formula>
    </cfRule>
  </conditionalFormatting>
  <conditionalFormatting sqref="E416:F416">
    <cfRule type="expression" dxfId="555" priority="683">
      <formula>"="</formula>
    </cfRule>
  </conditionalFormatting>
  <conditionalFormatting sqref="C414 C416 C418">
    <cfRule type="expression" dxfId="554" priority="680">
      <formula>"="</formula>
    </cfRule>
  </conditionalFormatting>
  <conditionalFormatting sqref="C415 C417 C419">
    <cfRule type="expression" dxfId="553" priority="681">
      <formula>"="</formula>
    </cfRule>
  </conditionalFormatting>
  <conditionalFormatting sqref="C412">
    <cfRule type="expression" dxfId="552" priority="682">
      <formula>"="</formula>
    </cfRule>
  </conditionalFormatting>
  <conditionalFormatting sqref="C413">
    <cfRule type="expression" dxfId="551" priority="679">
      <formula>"="</formula>
    </cfRule>
  </conditionalFormatting>
  <conditionalFormatting sqref="C422 C424:C425 C427:C428 C430:C431 C433:C434 C436:C437 C439:C440 C442:C443 C445:C446 C448:C449 C451:C452 C454:C455 C457:C458 C460:C461 C463:C464 C466:C467 C469:C470 C472:C473 C475:C476 C478:C479 C481:C482 C484:C485 C487:C488 C490:C491 C493:C494 C496:C497 C499:C500 C502:C503 C505:C506 C508:C509 C511 C513">
    <cfRule type="expression" dxfId="550" priority="676">
      <formula>"="</formula>
    </cfRule>
  </conditionalFormatting>
  <conditionalFormatting sqref="C423 C426 C429 C432 C435 C438 C441 C444 C447 C450 C453 C456 C459 C462 C465 C468 C471 C474 C477 C480 C483 C486 C489 C492 C495 C498 C501 C504 C507 C510 C514 C512">
    <cfRule type="expression" dxfId="549" priority="677">
      <formula>"="</formula>
    </cfRule>
  </conditionalFormatting>
  <conditionalFormatting sqref="C420">
    <cfRule type="expression" dxfId="548" priority="678">
      <formula>"="</formula>
    </cfRule>
  </conditionalFormatting>
  <conditionalFormatting sqref="C421">
    <cfRule type="expression" dxfId="547" priority="675">
      <formula>"="</formula>
    </cfRule>
  </conditionalFormatting>
  <conditionalFormatting sqref="I517">
    <cfRule type="expression" dxfId="546" priority="674">
      <formula>"="</formula>
    </cfRule>
  </conditionalFormatting>
  <conditionalFormatting sqref="F517">
    <cfRule type="expression" dxfId="545" priority="673">
      <formula>"="</formula>
    </cfRule>
  </conditionalFormatting>
  <conditionalFormatting sqref="E517 G517">
    <cfRule type="expression" dxfId="544" priority="672">
      <formula>"="</formula>
    </cfRule>
  </conditionalFormatting>
  <conditionalFormatting sqref="D517">
    <cfRule type="expression" dxfId="543" priority="671">
      <formula>"="</formula>
    </cfRule>
  </conditionalFormatting>
  <conditionalFormatting sqref="D517">
    <cfRule type="expression" dxfId="542" priority="670">
      <formula>"="</formula>
    </cfRule>
  </conditionalFormatting>
  <conditionalFormatting sqref="C517 C519 C521 C523 C525 C527 C529 C531 C533 C535 C537">
    <cfRule type="expression" dxfId="541" priority="667">
      <formula>"="</formula>
    </cfRule>
  </conditionalFormatting>
  <conditionalFormatting sqref="C518 C520 C522 C524 C526 C528 C530 C532 C534 C536 C538">
    <cfRule type="expression" dxfId="540" priority="668">
      <formula>"="</formula>
    </cfRule>
  </conditionalFormatting>
  <conditionalFormatting sqref="C515">
    <cfRule type="expression" dxfId="539" priority="669">
      <formula>"="</formula>
    </cfRule>
  </conditionalFormatting>
  <conditionalFormatting sqref="C516">
    <cfRule type="expression" dxfId="538" priority="666">
      <formula>"="</formula>
    </cfRule>
  </conditionalFormatting>
  <conditionalFormatting sqref="G541">
    <cfRule type="expression" dxfId="537" priority="665">
      <formula>"="</formula>
    </cfRule>
  </conditionalFormatting>
  <conditionalFormatting sqref="G576">
    <cfRule type="expression" dxfId="536" priority="647">
      <formula>"="</formula>
    </cfRule>
  </conditionalFormatting>
  <conditionalFormatting sqref="F541">
    <cfRule type="expression" dxfId="535" priority="664">
      <formula>"="</formula>
    </cfRule>
  </conditionalFormatting>
  <conditionalFormatting sqref="E541">
    <cfRule type="expression" dxfId="534" priority="663">
      <formula>"="</formula>
    </cfRule>
  </conditionalFormatting>
  <conditionalFormatting sqref="D541">
    <cfRule type="expression" dxfId="533" priority="662">
      <formula>"="</formula>
    </cfRule>
  </conditionalFormatting>
  <conditionalFormatting sqref="D541">
    <cfRule type="expression" dxfId="532" priority="661">
      <formula>"="</formula>
    </cfRule>
  </conditionalFormatting>
  <conditionalFormatting sqref="I541">
    <cfRule type="expression" dxfId="531" priority="660">
      <formula>"="</formula>
    </cfRule>
  </conditionalFormatting>
  <conditionalFormatting sqref="I540">
    <cfRule type="expression" dxfId="530" priority="659">
      <formula>"="</formula>
    </cfRule>
  </conditionalFormatting>
  <conditionalFormatting sqref="C541 C543 C545 C547 C549 C551 C553 C555 C557 C559 C561 C563 C565">
    <cfRule type="expression" dxfId="529" priority="656">
      <formula>"="</formula>
    </cfRule>
  </conditionalFormatting>
  <conditionalFormatting sqref="C542 C544 C546 C548 C550 C552 C554 C556 C558 C560 C562 C564">
    <cfRule type="expression" dxfId="528" priority="657">
      <formula>"="</formula>
    </cfRule>
  </conditionalFormatting>
  <conditionalFormatting sqref="C539">
    <cfRule type="expression" dxfId="527" priority="658">
      <formula>"="</formula>
    </cfRule>
  </conditionalFormatting>
  <conditionalFormatting sqref="C540">
    <cfRule type="expression" dxfId="526" priority="655">
      <formula>"="</formula>
    </cfRule>
  </conditionalFormatting>
  <conditionalFormatting sqref="E568">
    <cfRule type="expression" dxfId="525" priority="654">
      <formula>"="</formula>
    </cfRule>
  </conditionalFormatting>
  <conditionalFormatting sqref="G568">
    <cfRule type="expression" dxfId="524" priority="653">
      <formula>"="</formula>
    </cfRule>
  </conditionalFormatting>
  <conditionalFormatting sqref="E576">
    <cfRule type="expression" dxfId="523" priority="648">
      <formula>"="</formula>
    </cfRule>
  </conditionalFormatting>
  <conditionalFormatting sqref="I568">
    <cfRule type="expression" dxfId="522" priority="652">
      <formula>"="</formula>
    </cfRule>
  </conditionalFormatting>
  <conditionalFormatting sqref="F568">
    <cfRule type="expression" dxfId="521" priority="651">
      <formula>"="</formula>
    </cfRule>
  </conditionalFormatting>
  <conditionalFormatting sqref="D568">
    <cfRule type="expression" dxfId="520" priority="650">
      <formula>"="</formula>
    </cfRule>
  </conditionalFormatting>
  <conditionalFormatting sqref="D568">
    <cfRule type="expression" dxfId="519" priority="649">
      <formula>"="</formula>
    </cfRule>
  </conditionalFormatting>
  <conditionalFormatting sqref="C567">
    <cfRule type="expression" dxfId="518" priority="638">
      <formula>"="</formula>
    </cfRule>
  </conditionalFormatting>
  <conditionalFormatting sqref="I576">
    <cfRule type="expression" dxfId="517" priority="646">
      <formula>"="</formula>
    </cfRule>
  </conditionalFormatting>
  <conditionalFormatting sqref="F576">
    <cfRule type="expression" dxfId="516" priority="645">
      <formula>"="</formula>
    </cfRule>
  </conditionalFormatting>
  <conditionalFormatting sqref="D576">
    <cfRule type="expression" dxfId="515" priority="644">
      <formula>"="</formula>
    </cfRule>
  </conditionalFormatting>
  <conditionalFormatting sqref="D576">
    <cfRule type="expression" dxfId="514" priority="643">
      <formula>"="</formula>
    </cfRule>
  </conditionalFormatting>
  <conditionalFormatting sqref="I567">
    <cfRule type="expression" dxfId="513" priority="642">
      <formula>"="</formula>
    </cfRule>
  </conditionalFormatting>
  <conditionalFormatting sqref="C568 C570 C572">
    <cfRule type="expression" dxfId="512" priority="639">
      <formula>"="</formula>
    </cfRule>
  </conditionalFormatting>
  <conditionalFormatting sqref="C569 C571 C573">
    <cfRule type="expression" dxfId="511" priority="640">
      <formula>"="</formula>
    </cfRule>
  </conditionalFormatting>
  <conditionalFormatting sqref="C566">
    <cfRule type="expression" dxfId="510" priority="641">
      <formula>"="</formula>
    </cfRule>
  </conditionalFormatting>
  <conditionalFormatting sqref="I575">
    <cfRule type="expression" dxfId="509" priority="637">
      <formula>"="</formula>
    </cfRule>
  </conditionalFormatting>
  <conditionalFormatting sqref="C575">
    <cfRule type="expression" dxfId="508" priority="633">
      <formula>"="</formula>
    </cfRule>
  </conditionalFormatting>
  <conditionalFormatting sqref="C576 C578 C580">
    <cfRule type="expression" dxfId="507" priority="634">
      <formula>"="</formula>
    </cfRule>
  </conditionalFormatting>
  <conditionalFormatting sqref="C577 C579 C581">
    <cfRule type="expression" dxfId="506" priority="635">
      <formula>"="</formula>
    </cfRule>
  </conditionalFormatting>
  <conditionalFormatting sqref="I583">
    <cfRule type="expression" dxfId="505" priority="632">
      <formula>"="</formula>
    </cfRule>
  </conditionalFormatting>
  <conditionalFormatting sqref="C574">
    <cfRule type="expression" dxfId="504" priority="636">
      <formula>"="</formula>
    </cfRule>
  </conditionalFormatting>
  <conditionalFormatting sqref="C586 C588 C590 C592 C594">
    <cfRule type="expression" dxfId="503" priority="630">
      <formula>"="</formula>
    </cfRule>
  </conditionalFormatting>
  <conditionalFormatting sqref="C585 C587 C589 C591 C593 C595">
    <cfRule type="expression" dxfId="502" priority="631">
      <formula>"="</formula>
    </cfRule>
  </conditionalFormatting>
  <conditionalFormatting sqref="C596">
    <cfRule type="expression" dxfId="501" priority="628">
      <formula>"="</formula>
    </cfRule>
  </conditionalFormatting>
  <conditionalFormatting sqref="I597">
    <cfRule type="expression" dxfId="500" priority="629">
      <formula>"="</formula>
    </cfRule>
  </conditionalFormatting>
  <conditionalFormatting sqref="D582:D584 B582:B584">
    <cfRule type="expression" dxfId="499" priority="624">
      <formula>"="</formula>
    </cfRule>
  </conditionalFormatting>
  <conditionalFormatting sqref="D582:D584 B582:B584">
    <cfRule type="expression" dxfId="498" priority="623">
      <formula>"="</formula>
    </cfRule>
  </conditionalFormatting>
  <conditionalFormatting sqref="C583">
    <cfRule type="expression" dxfId="497" priority="620">
      <formula>"="</formula>
    </cfRule>
  </conditionalFormatting>
  <conditionalFormatting sqref="C584">
    <cfRule type="expression" dxfId="496" priority="621">
      <formula>"="</formula>
    </cfRule>
  </conditionalFormatting>
  <conditionalFormatting sqref="C582">
    <cfRule type="expression" dxfId="495" priority="622">
      <formula>"="</formula>
    </cfRule>
  </conditionalFormatting>
  <conditionalFormatting sqref="C635">
    <cfRule type="expression" dxfId="494" priority="616">
      <formula>"="</formula>
    </cfRule>
  </conditionalFormatting>
  <conditionalFormatting sqref="C634">
    <cfRule type="expression" dxfId="493" priority="619">
      <formula>"="</formula>
    </cfRule>
  </conditionalFormatting>
  <conditionalFormatting sqref="C636 C638 C640 C642 C644 C646">
    <cfRule type="expression" dxfId="492" priority="617">
      <formula>"="</formula>
    </cfRule>
  </conditionalFormatting>
  <conditionalFormatting sqref="C637 C639 C641 C643 C645">
    <cfRule type="expression" dxfId="491" priority="618">
      <formula>"="</formula>
    </cfRule>
  </conditionalFormatting>
  <conditionalFormatting sqref="C648">
    <cfRule type="expression" dxfId="490" priority="608">
      <formula>"="</formula>
    </cfRule>
  </conditionalFormatting>
  <conditionalFormatting sqref="C647">
    <cfRule type="expression" dxfId="489" priority="611">
      <formula>"="</formula>
    </cfRule>
  </conditionalFormatting>
  <conditionalFormatting sqref="C649 C651 C653 C655 C657 C659 C661 C663 C665">
    <cfRule type="expression" dxfId="488" priority="609">
      <formula>"="</formula>
    </cfRule>
  </conditionalFormatting>
  <conditionalFormatting sqref="C650 C652 C654 C656 C658 C660 C662 C664">
    <cfRule type="expression" dxfId="487" priority="610">
      <formula>"="</formula>
    </cfRule>
  </conditionalFormatting>
  <conditionalFormatting sqref="E667">
    <cfRule type="expression" dxfId="486" priority="607">
      <formula>"="</formula>
    </cfRule>
  </conditionalFormatting>
  <conditionalFormatting sqref="H667:H668">
    <cfRule type="expression" dxfId="485" priority="606">
      <formula>"="</formula>
    </cfRule>
  </conditionalFormatting>
  <conditionalFormatting sqref="G667">
    <cfRule type="expression" dxfId="484" priority="605">
      <formula>"="</formula>
    </cfRule>
  </conditionalFormatting>
  <conditionalFormatting sqref="F667">
    <cfRule type="expression" dxfId="483" priority="604">
      <formula>"="</formula>
    </cfRule>
  </conditionalFormatting>
  <conditionalFormatting sqref="D667">
    <cfRule type="expression" dxfId="482" priority="603">
      <formula>"="</formula>
    </cfRule>
  </conditionalFormatting>
  <conditionalFormatting sqref="D667">
    <cfRule type="expression" dxfId="481" priority="602">
      <formula>"="</formula>
    </cfRule>
  </conditionalFormatting>
  <conditionalFormatting sqref="I667">
    <cfRule type="expression" dxfId="480" priority="601">
      <formula>"="</formula>
    </cfRule>
  </conditionalFormatting>
  <conditionalFormatting sqref="I667">
    <cfRule type="expression" dxfId="479" priority="600">
      <formula>"="</formula>
    </cfRule>
  </conditionalFormatting>
  <conditionalFormatting sqref="C667">
    <cfRule type="expression" dxfId="478" priority="596">
      <formula>"="</formula>
    </cfRule>
  </conditionalFormatting>
  <conditionalFormatting sqref="C666">
    <cfRule type="expression" dxfId="477" priority="599">
      <formula>"="</formula>
    </cfRule>
  </conditionalFormatting>
  <conditionalFormatting sqref="C668 C670 C672 C674 C676 C678">
    <cfRule type="expression" dxfId="476" priority="597">
      <formula>"="</formula>
    </cfRule>
  </conditionalFormatting>
  <conditionalFormatting sqref="C669 C671 C673 C675 C677 C679">
    <cfRule type="expression" dxfId="475" priority="598">
      <formula>"="</formula>
    </cfRule>
  </conditionalFormatting>
  <conditionalFormatting sqref="D681:E681 H682 G681:I681">
    <cfRule type="expression" dxfId="474" priority="595">
      <formula>"="</formula>
    </cfRule>
  </conditionalFormatting>
  <conditionalFormatting sqref="I681 D681">
    <cfRule type="expression" dxfId="473" priority="594">
      <formula>"="</formula>
    </cfRule>
  </conditionalFormatting>
  <conditionalFormatting sqref="F681">
    <cfRule type="expression" dxfId="472" priority="593">
      <formula>"="</formula>
    </cfRule>
  </conditionalFormatting>
  <conditionalFormatting sqref="C681">
    <cfRule type="expression" dxfId="471" priority="589">
      <formula>"="</formula>
    </cfRule>
  </conditionalFormatting>
  <conditionalFormatting sqref="C680">
    <cfRule type="expression" dxfId="470" priority="592">
      <formula>"="</formula>
    </cfRule>
  </conditionalFormatting>
  <conditionalFormatting sqref="C682 C684 C686 C688 C690 C692">
    <cfRule type="expression" dxfId="469" priority="590">
      <formula>"="</formula>
    </cfRule>
  </conditionalFormatting>
  <conditionalFormatting sqref="C683 C685 C687 C689 C691 C693">
    <cfRule type="expression" dxfId="468" priority="591">
      <formula>"="</formula>
    </cfRule>
  </conditionalFormatting>
  <conditionalFormatting sqref="E695">
    <cfRule type="expression" dxfId="467" priority="588">
      <formula>"="</formula>
    </cfRule>
  </conditionalFormatting>
  <conditionalFormatting sqref="H695:H696">
    <cfRule type="expression" dxfId="466" priority="587">
      <formula>"="</formula>
    </cfRule>
  </conditionalFormatting>
  <conditionalFormatting sqref="G695">
    <cfRule type="expression" dxfId="465" priority="586">
      <formula>"="</formula>
    </cfRule>
  </conditionalFormatting>
  <conditionalFormatting sqref="F695">
    <cfRule type="expression" dxfId="464" priority="585">
      <formula>"="</formula>
    </cfRule>
  </conditionalFormatting>
  <conditionalFormatting sqref="D695">
    <cfRule type="expression" dxfId="463" priority="584">
      <formula>"="</formula>
    </cfRule>
  </conditionalFormatting>
  <conditionalFormatting sqref="D695">
    <cfRule type="expression" dxfId="462" priority="583">
      <formula>"="</formula>
    </cfRule>
  </conditionalFormatting>
  <conditionalFormatting sqref="I695">
    <cfRule type="expression" dxfId="461" priority="582">
      <formula>"="</formula>
    </cfRule>
  </conditionalFormatting>
  <conditionalFormatting sqref="I695">
    <cfRule type="expression" dxfId="460" priority="581">
      <formula>"="</formula>
    </cfRule>
  </conditionalFormatting>
  <conditionalFormatting sqref="C695">
    <cfRule type="expression" dxfId="459" priority="577">
      <formula>"="</formula>
    </cfRule>
  </conditionalFormatting>
  <conditionalFormatting sqref="C694">
    <cfRule type="expression" dxfId="458" priority="580">
      <formula>"="</formula>
    </cfRule>
  </conditionalFormatting>
  <conditionalFormatting sqref="C696 C698 C700 C702 C704 C706 C708 C710">
    <cfRule type="expression" dxfId="457" priority="578">
      <formula>"="</formula>
    </cfRule>
  </conditionalFormatting>
  <conditionalFormatting sqref="C697 C699 C701 C703 C705 C707 C709 C711">
    <cfRule type="expression" dxfId="456" priority="579">
      <formula>"="</formula>
    </cfRule>
  </conditionalFormatting>
  <conditionalFormatting sqref="E713">
    <cfRule type="expression" dxfId="455" priority="576">
      <formula>"="</formula>
    </cfRule>
  </conditionalFormatting>
  <conditionalFormatting sqref="G713">
    <cfRule type="expression" dxfId="454" priority="575">
      <formula>"="</formula>
    </cfRule>
  </conditionalFormatting>
  <conditionalFormatting sqref="H713:H714">
    <cfRule type="expression" dxfId="453" priority="574">
      <formula>"="</formula>
    </cfRule>
  </conditionalFormatting>
  <conditionalFormatting sqref="F713">
    <cfRule type="expression" dxfId="452" priority="573">
      <formula>"="</formula>
    </cfRule>
  </conditionalFormatting>
  <conditionalFormatting sqref="D713">
    <cfRule type="expression" dxfId="451" priority="572">
      <formula>"="</formula>
    </cfRule>
  </conditionalFormatting>
  <conditionalFormatting sqref="D713">
    <cfRule type="expression" dxfId="450" priority="571">
      <formula>"="</formula>
    </cfRule>
  </conditionalFormatting>
  <conditionalFormatting sqref="I713">
    <cfRule type="expression" dxfId="449" priority="570">
      <formula>"="</formula>
    </cfRule>
  </conditionalFormatting>
  <conditionalFormatting sqref="I713">
    <cfRule type="expression" dxfId="448" priority="569">
      <formula>"="</formula>
    </cfRule>
  </conditionalFormatting>
  <conditionalFormatting sqref="C713">
    <cfRule type="expression" dxfId="447" priority="565">
      <formula>"="</formula>
    </cfRule>
  </conditionalFormatting>
  <conditionalFormatting sqref="C712">
    <cfRule type="expression" dxfId="446" priority="568">
      <formula>"="</formula>
    </cfRule>
  </conditionalFormatting>
  <conditionalFormatting sqref="C714 C716 C718 C720 C722 C724 C726 C728 C730 C732 C734 C736 C738 C740 C742 C744 C746 C748">
    <cfRule type="expression" dxfId="445" priority="566">
      <formula>"="</formula>
    </cfRule>
  </conditionalFormatting>
  <conditionalFormatting sqref="C715 C717 C719 C721 C723 C725 C727 C729 C731 C733 C735 C737 C739 C741 C743 C745 C747">
    <cfRule type="expression" dxfId="444" priority="567">
      <formula>"="</formula>
    </cfRule>
  </conditionalFormatting>
  <conditionalFormatting sqref="E750">
    <cfRule type="expression" dxfId="443" priority="564">
      <formula>"="</formula>
    </cfRule>
  </conditionalFormatting>
  <conditionalFormatting sqref="G750">
    <cfRule type="expression" dxfId="442" priority="563">
      <formula>"="</formula>
    </cfRule>
  </conditionalFormatting>
  <conditionalFormatting sqref="H750:H751">
    <cfRule type="expression" dxfId="441" priority="562">
      <formula>"="</formula>
    </cfRule>
  </conditionalFormatting>
  <conditionalFormatting sqref="F750">
    <cfRule type="expression" dxfId="440" priority="561">
      <formula>"="</formula>
    </cfRule>
  </conditionalFormatting>
  <conditionalFormatting sqref="D750">
    <cfRule type="expression" dxfId="439" priority="560">
      <formula>"="</formula>
    </cfRule>
  </conditionalFormatting>
  <conditionalFormatting sqref="D750">
    <cfRule type="expression" dxfId="438" priority="559">
      <formula>"="</formula>
    </cfRule>
  </conditionalFormatting>
  <conditionalFormatting sqref="I750">
    <cfRule type="expression" dxfId="437" priority="558">
      <formula>"="</formula>
    </cfRule>
  </conditionalFormatting>
  <conditionalFormatting sqref="I750">
    <cfRule type="expression" dxfId="436" priority="557">
      <formula>"="</formula>
    </cfRule>
  </conditionalFormatting>
  <conditionalFormatting sqref="C750">
    <cfRule type="expression" dxfId="435" priority="553">
      <formula>"="</formula>
    </cfRule>
  </conditionalFormatting>
  <conditionalFormatting sqref="C749">
    <cfRule type="expression" dxfId="434" priority="556">
      <formula>"="</formula>
    </cfRule>
  </conditionalFormatting>
  <conditionalFormatting sqref="C751 C753:C754 C756:C757 C759:C760 C762:C763 C765:C766 C768:C769 C771:C772 C774:C775 C777:C778 C780:C781 C783:C784 C786:C787 C789:C790 C792:C793 C795">
    <cfRule type="expression" dxfId="433" priority="554">
      <formula>"="</formula>
    </cfRule>
  </conditionalFormatting>
  <conditionalFormatting sqref="C752 C755 C758 C761 C764 C767 C770 C773 C776 C779 C782 C785 C788 C791 C794">
    <cfRule type="expression" dxfId="432" priority="555">
      <formula>"="</formula>
    </cfRule>
  </conditionalFormatting>
  <conditionalFormatting sqref="C878">
    <cfRule type="expression" dxfId="431" priority="549">
      <formula>"="</formula>
    </cfRule>
  </conditionalFormatting>
  <conditionalFormatting sqref="C877">
    <cfRule type="expression" dxfId="430" priority="552">
      <formula>"="</formula>
    </cfRule>
  </conditionalFormatting>
  <conditionalFormatting sqref="C879 C881 C883 C885 C887">
    <cfRule type="expression" dxfId="429" priority="550">
      <formula>"="</formula>
    </cfRule>
  </conditionalFormatting>
  <conditionalFormatting sqref="C880 C882 C884 C886 C888">
    <cfRule type="expression" dxfId="428" priority="551">
      <formula>"="</formula>
    </cfRule>
  </conditionalFormatting>
  <conditionalFormatting sqref="C890">
    <cfRule type="expression" dxfId="427" priority="545">
      <formula>"="</formula>
    </cfRule>
  </conditionalFormatting>
  <conditionalFormatting sqref="C889">
    <cfRule type="expression" dxfId="426" priority="548">
      <formula>"="</formula>
    </cfRule>
  </conditionalFormatting>
  <conditionalFormatting sqref="C891 C893 C895 C897 C899 C901">
    <cfRule type="expression" dxfId="425" priority="546">
      <formula>"="</formula>
    </cfRule>
  </conditionalFormatting>
  <conditionalFormatting sqref="C892 C894 C896 C898 C900">
    <cfRule type="expression" dxfId="424" priority="547">
      <formula>"="</formula>
    </cfRule>
  </conditionalFormatting>
  <conditionalFormatting sqref="C903">
    <cfRule type="expression" dxfId="423" priority="541">
      <formula>"="</formula>
    </cfRule>
  </conditionalFormatting>
  <conditionalFormatting sqref="C902">
    <cfRule type="expression" dxfId="422" priority="544">
      <formula>"="</formula>
    </cfRule>
  </conditionalFormatting>
  <conditionalFormatting sqref="C904 C906 C908 C910 C912 C914 C916">
    <cfRule type="expression" dxfId="421" priority="542">
      <formula>"="</formula>
    </cfRule>
  </conditionalFormatting>
  <conditionalFormatting sqref="C905 C907 C909 C911 C913 C915">
    <cfRule type="expression" dxfId="420" priority="543">
      <formula>"="</formula>
    </cfRule>
  </conditionalFormatting>
  <conditionalFormatting sqref="C133 C135 C137 C139">
    <cfRule type="expression" dxfId="419" priority="529">
      <formula>"="</formula>
    </cfRule>
  </conditionalFormatting>
  <conditionalFormatting sqref="D134">
    <cfRule type="expression" dxfId="418" priority="532">
      <formula>"="</formula>
    </cfRule>
  </conditionalFormatting>
  <conditionalFormatting sqref="I134">
    <cfRule type="expression" dxfId="417" priority="536">
      <formula>"="</formula>
    </cfRule>
  </conditionalFormatting>
  <conditionalFormatting sqref="D133:E133 B133 H133:H134 G133">
    <cfRule type="expression" dxfId="416" priority="534">
      <formula>"="</formula>
    </cfRule>
  </conditionalFormatting>
  <conditionalFormatting sqref="I133">
    <cfRule type="expression" dxfId="415" priority="530">
      <formula>"="</formula>
    </cfRule>
  </conditionalFormatting>
  <conditionalFormatting sqref="E134 G134">
    <cfRule type="expression" dxfId="414" priority="540">
      <formula>"="</formula>
    </cfRule>
  </conditionalFormatting>
  <conditionalFormatting sqref="B134">
    <cfRule type="expression" dxfId="413" priority="539">
      <formula>"="</formula>
    </cfRule>
  </conditionalFormatting>
  <conditionalFormatting sqref="B134">
    <cfRule type="expression" dxfId="412" priority="538">
      <formula>"="</formula>
    </cfRule>
  </conditionalFormatting>
  <conditionalFormatting sqref="F134">
    <cfRule type="expression" dxfId="411" priority="537">
      <formula>"="</formula>
    </cfRule>
  </conditionalFormatting>
  <conditionalFormatting sqref="F133">
    <cfRule type="expression" dxfId="410" priority="535">
      <formula>"="</formula>
    </cfRule>
  </conditionalFormatting>
  <conditionalFormatting sqref="D133 B133">
    <cfRule type="expression" dxfId="409" priority="533">
      <formula>"="</formula>
    </cfRule>
  </conditionalFormatting>
  <conditionalFormatting sqref="D134">
    <cfRule type="expression" dxfId="408" priority="531">
      <formula>"="</formula>
    </cfRule>
  </conditionalFormatting>
  <conditionalFormatting sqref="C134 C136 C138 C140">
    <cfRule type="expression" dxfId="407" priority="528">
      <formula>"="</formula>
    </cfRule>
  </conditionalFormatting>
  <conditionalFormatting sqref="F546">
    <cfRule type="expression" dxfId="406" priority="527">
      <formula>"="</formula>
    </cfRule>
  </conditionalFormatting>
  <conditionalFormatting sqref="F698">
    <cfRule type="expression" dxfId="405" priority="526">
      <formula>"="</formula>
    </cfRule>
  </conditionalFormatting>
  <conditionalFormatting sqref="I19">
    <cfRule type="expression" dxfId="404" priority="525">
      <formula>"="</formula>
    </cfRule>
  </conditionalFormatting>
  <conditionalFormatting sqref="I26">
    <cfRule type="expression" dxfId="403" priority="524">
      <formula>"="</formula>
    </cfRule>
  </conditionalFormatting>
  <conditionalFormatting sqref="B796 G807:G809">
    <cfRule type="expression" dxfId="402" priority="523">
      <formula>"="</formula>
    </cfRule>
  </conditionalFormatting>
  <conditionalFormatting sqref="B796">
    <cfRule type="expression" dxfId="401" priority="522">
      <formula>"="</formula>
    </cfRule>
  </conditionalFormatting>
  <conditionalFormatting sqref="J796:K806 E807:E823 I807:K824">
    <cfRule type="expression" dxfId="400" priority="521">
      <formula>"="</formula>
    </cfRule>
  </conditionalFormatting>
  <conditionalFormatting sqref="D807:D823">
    <cfRule type="expression" dxfId="399" priority="520">
      <formula>"="</formula>
    </cfRule>
  </conditionalFormatting>
  <conditionalFormatting sqref="F807:F809">
    <cfRule type="expression" dxfId="398" priority="519">
      <formula>"="</formula>
    </cfRule>
  </conditionalFormatting>
  <conditionalFormatting sqref="B797:B798">
    <cfRule type="expression" dxfId="397" priority="518">
      <formula>"="</formula>
    </cfRule>
  </conditionalFormatting>
  <conditionalFormatting sqref="B797:B798">
    <cfRule type="expression" dxfId="396" priority="517">
      <formula>"="</formula>
    </cfRule>
  </conditionalFormatting>
  <conditionalFormatting sqref="G796:H797">
    <cfRule type="expression" dxfId="395" priority="516">
      <formula>"="</formula>
    </cfRule>
  </conditionalFormatting>
  <conditionalFormatting sqref="C797">
    <cfRule type="expression" dxfId="394" priority="515">
      <formula>"="</formula>
    </cfRule>
  </conditionalFormatting>
  <conditionalFormatting sqref="C796">
    <cfRule type="expression" dxfId="393" priority="514">
      <formula>"="</formula>
    </cfRule>
  </conditionalFormatting>
  <conditionalFormatting sqref="E796">
    <cfRule type="expression" dxfId="392" priority="513">
      <formula>"="</formula>
    </cfRule>
  </conditionalFormatting>
  <conditionalFormatting sqref="E797">
    <cfRule type="expression" dxfId="391" priority="512">
      <formula>"="</formula>
    </cfRule>
  </conditionalFormatting>
  <conditionalFormatting sqref="F796">
    <cfRule type="expression" dxfId="390" priority="511">
      <formula>"="</formula>
    </cfRule>
  </conditionalFormatting>
  <conditionalFormatting sqref="F797">
    <cfRule type="expression" dxfId="389" priority="510">
      <formula>"="</formula>
    </cfRule>
  </conditionalFormatting>
  <conditionalFormatting sqref="E801:E803 G798:I803">
    <cfRule type="expression" dxfId="388" priority="509">
      <formula>"="</formula>
    </cfRule>
  </conditionalFormatting>
  <conditionalFormatting sqref="C798:C803">
    <cfRule type="expression" dxfId="387" priority="508">
      <formula>"="</formula>
    </cfRule>
  </conditionalFormatting>
  <conditionalFormatting sqref="E798:E800">
    <cfRule type="expression" dxfId="386" priority="507">
      <formula>"="</formula>
    </cfRule>
  </conditionalFormatting>
  <conditionalFormatting sqref="F798">
    <cfRule type="expression" dxfId="385" priority="506">
      <formula>"="</formula>
    </cfRule>
  </conditionalFormatting>
  <conditionalFormatting sqref="F800">
    <cfRule type="expression" dxfId="384" priority="505">
      <formula>"="</formula>
    </cfRule>
  </conditionalFormatting>
  <conditionalFormatting sqref="F802">
    <cfRule type="expression" dxfId="383" priority="504">
      <formula>"="</formula>
    </cfRule>
  </conditionalFormatting>
  <conditionalFormatting sqref="F803">
    <cfRule type="expression" dxfId="382" priority="503">
      <formula>"="</formula>
    </cfRule>
  </conditionalFormatting>
  <conditionalFormatting sqref="F799">
    <cfRule type="expression" dxfId="381" priority="502">
      <formula>"="</formula>
    </cfRule>
  </conditionalFormatting>
  <conditionalFormatting sqref="F801">
    <cfRule type="expression" dxfId="380" priority="501">
      <formula>"="</formula>
    </cfRule>
  </conditionalFormatting>
  <conditionalFormatting sqref="E804:E806 G804:I804 H807:H823 G806:I806 G805:H805">
    <cfRule type="expression" dxfId="379" priority="500">
      <formula>"="</formula>
    </cfRule>
  </conditionalFormatting>
  <conditionalFormatting sqref="C804:C824">
    <cfRule type="expression" dxfId="378" priority="499">
      <formula>"="</formula>
    </cfRule>
  </conditionalFormatting>
  <conditionalFormatting sqref="F804">
    <cfRule type="expression" dxfId="377" priority="498">
      <formula>"="</formula>
    </cfRule>
  </conditionalFormatting>
  <conditionalFormatting sqref="F805">
    <cfRule type="expression" dxfId="376" priority="497">
      <formula>"="</formula>
    </cfRule>
  </conditionalFormatting>
  <conditionalFormatting sqref="F806">
    <cfRule type="expression" dxfId="375" priority="496">
      <formula>"="</formula>
    </cfRule>
  </conditionalFormatting>
  <conditionalFormatting sqref="G810:G823">
    <cfRule type="expression" dxfId="374" priority="495">
      <formula>"="</formula>
    </cfRule>
  </conditionalFormatting>
  <conditionalFormatting sqref="F810:F823">
    <cfRule type="expression" dxfId="373" priority="494">
      <formula>"="</formula>
    </cfRule>
  </conditionalFormatting>
  <conditionalFormatting sqref="E824 G825 G837:G851">
    <cfRule type="expression" dxfId="372" priority="493">
      <formula>"="</formula>
    </cfRule>
  </conditionalFormatting>
  <conditionalFormatting sqref="E825 E837:E851">
    <cfRule type="expression" dxfId="371" priority="492">
      <formula>"="</formula>
    </cfRule>
  </conditionalFormatting>
  <conditionalFormatting sqref="D837:D850">
    <cfRule type="expression" dxfId="370" priority="491">
      <formula>"="</formula>
    </cfRule>
  </conditionalFormatting>
  <conditionalFormatting sqref="G824">
    <cfRule type="expression" dxfId="369" priority="490">
      <formula>"="</formula>
    </cfRule>
  </conditionalFormatting>
  <conditionalFormatting sqref="H824:H825">
    <cfRule type="expression" dxfId="368" priority="489">
      <formula>"="</formula>
    </cfRule>
  </conditionalFormatting>
  <conditionalFormatting sqref="F824">
    <cfRule type="expression" dxfId="367" priority="488">
      <formula>"="</formula>
    </cfRule>
  </conditionalFormatting>
  <conditionalFormatting sqref="F825 F837:F851">
    <cfRule type="expression" dxfId="366" priority="487">
      <formula>"="</formula>
    </cfRule>
  </conditionalFormatting>
  <conditionalFormatting sqref="C825:C851">
    <cfRule type="expression" dxfId="365" priority="484">
      <formula>"="</formula>
    </cfRule>
  </conditionalFormatting>
  <conditionalFormatting sqref="C852">
    <cfRule type="expression" dxfId="364" priority="460">
      <formula>"="</formula>
    </cfRule>
  </conditionalFormatting>
  <conditionalFormatting sqref="B825:B829 B853:B855">
    <cfRule type="expression" dxfId="363" priority="486">
      <formula>"="</formula>
    </cfRule>
  </conditionalFormatting>
  <conditionalFormatting sqref="I825:K825 J826:K836 I863:K863 J853:K862 J865:K875 I837:K851">
    <cfRule type="expression" dxfId="362" priority="485">
      <formula>"="</formula>
    </cfRule>
  </conditionalFormatting>
  <conditionalFormatting sqref="G826:H827">
    <cfRule type="expression" dxfId="361" priority="483">
      <formula>"="</formula>
    </cfRule>
  </conditionalFormatting>
  <conditionalFormatting sqref="E826">
    <cfRule type="expression" dxfId="360" priority="482">
      <formula>"="</formula>
    </cfRule>
  </conditionalFormatting>
  <conditionalFormatting sqref="E827">
    <cfRule type="expression" dxfId="359" priority="481">
      <formula>"="</formula>
    </cfRule>
  </conditionalFormatting>
  <conditionalFormatting sqref="F826">
    <cfRule type="expression" dxfId="358" priority="480">
      <formula>"="</formula>
    </cfRule>
  </conditionalFormatting>
  <conditionalFormatting sqref="F827">
    <cfRule type="expression" dxfId="357" priority="479">
      <formula>"="</formula>
    </cfRule>
  </conditionalFormatting>
  <conditionalFormatting sqref="E831:E833 G828:I833">
    <cfRule type="expression" dxfId="356" priority="478">
      <formula>"="</formula>
    </cfRule>
  </conditionalFormatting>
  <conditionalFormatting sqref="E828:E830">
    <cfRule type="expression" dxfId="355" priority="477">
      <formula>"="</formula>
    </cfRule>
  </conditionalFormatting>
  <conditionalFormatting sqref="F828">
    <cfRule type="expression" dxfId="354" priority="476">
      <formula>"="</formula>
    </cfRule>
  </conditionalFormatting>
  <conditionalFormatting sqref="F830">
    <cfRule type="expression" dxfId="353" priority="475">
      <formula>"="</formula>
    </cfRule>
  </conditionalFormatting>
  <conditionalFormatting sqref="F832">
    <cfRule type="expression" dxfId="352" priority="474">
      <formula>"="</formula>
    </cfRule>
  </conditionalFormatting>
  <conditionalFormatting sqref="F833">
    <cfRule type="expression" dxfId="351" priority="473">
      <formula>"="</formula>
    </cfRule>
  </conditionalFormatting>
  <conditionalFormatting sqref="F829">
    <cfRule type="expression" dxfId="350" priority="472">
      <formula>"="</formula>
    </cfRule>
  </conditionalFormatting>
  <conditionalFormatting sqref="F831">
    <cfRule type="expression" dxfId="349" priority="471">
      <formula>"="</formula>
    </cfRule>
  </conditionalFormatting>
  <conditionalFormatting sqref="E834:E836 G834:I834 H837:H851 G836:I836 G835:H835">
    <cfRule type="expression" dxfId="348" priority="470">
      <formula>"="</formula>
    </cfRule>
  </conditionalFormatting>
  <conditionalFormatting sqref="F834">
    <cfRule type="expression" dxfId="347" priority="469">
      <formula>"="</formula>
    </cfRule>
  </conditionalFormatting>
  <conditionalFormatting sqref="F835">
    <cfRule type="expression" dxfId="346" priority="468">
      <formula>"="</formula>
    </cfRule>
  </conditionalFormatting>
  <conditionalFormatting sqref="F836">
    <cfRule type="expression" dxfId="345" priority="467">
      <formula>"="</formula>
    </cfRule>
  </conditionalFormatting>
  <conditionalFormatting sqref="H852">
    <cfRule type="expression" dxfId="344" priority="464">
      <formula>"="</formula>
    </cfRule>
  </conditionalFormatting>
  <conditionalFormatting sqref="F852">
    <cfRule type="expression" dxfId="343" priority="463">
      <formula>"="</formula>
    </cfRule>
  </conditionalFormatting>
  <conditionalFormatting sqref="G852">
    <cfRule type="expression" dxfId="342" priority="466">
      <formula>"="</formula>
    </cfRule>
  </conditionalFormatting>
  <conditionalFormatting sqref="E852">
    <cfRule type="expression" dxfId="341" priority="465">
      <formula>"="</formula>
    </cfRule>
  </conditionalFormatting>
  <conditionalFormatting sqref="B852">
    <cfRule type="expression" dxfId="340" priority="462">
      <formula>"="</formula>
    </cfRule>
  </conditionalFormatting>
  <conditionalFormatting sqref="I852:K852">
    <cfRule type="expression" dxfId="339" priority="461">
      <formula>"="</formula>
    </cfRule>
  </conditionalFormatting>
  <conditionalFormatting sqref="C853:C861 C863">
    <cfRule type="expression" dxfId="338" priority="459">
      <formula>"="</formula>
    </cfRule>
  </conditionalFormatting>
  <conditionalFormatting sqref="G853:H854">
    <cfRule type="expression" dxfId="337" priority="458">
      <formula>"="</formula>
    </cfRule>
  </conditionalFormatting>
  <conditionalFormatting sqref="E853">
    <cfRule type="expression" dxfId="336" priority="457">
      <formula>"="</formula>
    </cfRule>
  </conditionalFormatting>
  <conditionalFormatting sqref="E854">
    <cfRule type="expression" dxfId="335" priority="456">
      <formula>"="</formula>
    </cfRule>
  </conditionalFormatting>
  <conditionalFormatting sqref="F853">
    <cfRule type="expression" dxfId="334" priority="455">
      <formula>"="</formula>
    </cfRule>
  </conditionalFormatting>
  <conditionalFormatting sqref="F854">
    <cfRule type="expression" dxfId="333" priority="454">
      <formula>"="</formula>
    </cfRule>
  </conditionalFormatting>
  <conditionalFormatting sqref="E858:E860 G855:I860">
    <cfRule type="expression" dxfId="332" priority="453">
      <formula>"="</formula>
    </cfRule>
  </conditionalFormatting>
  <conditionalFormatting sqref="E855:E857">
    <cfRule type="expression" dxfId="331" priority="452">
      <formula>"="</formula>
    </cfRule>
  </conditionalFormatting>
  <conditionalFormatting sqref="F855">
    <cfRule type="expression" dxfId="330" priority="451">
      <formula>"="</formula>
    </cfRule>
  </conditionalFormatting>
  <conditionalFormatting sqref="F857">
    <cfRule type="expression" dxfId="329" priority="450">
      <formula>"="</formula>
    </cfRule>
  </conditionalFormatting>
  <conditionalFormatting sqref="F859">
    <cfRule type="expression" dxfId="328" priority="449">
      <formula>"="</formula>
    </cfRule>
  </conditionalFormatting>
  <conditionalFormatting sqref="F860">
    <cfRule type="expression" dxfId="327" priority="448">
      <formula>"="</formula>
    </cfRule>
  </conditionalFormatting>
  <conditionalFormatting sqref="F856">
    <cfRule type="expression" dxfId="326" priority="447">
      <formula>"="</formula>
    </cfRule>
  </conditionalFormatting>
  <conditionalFormatting sqref="F858">
    <cfRule type="expression" dxfId="325" priority="446">
      <formula>"="</formula>
    </cfRule>
  </conditionalFormatting>
  <conditionalFormatting sqref="E861 G861:I861 H862:H863">
    <cfRule type="expression" dxfId="324" priority="445">
      <formula>"="</formula>
    </cfRule>
  </conditionalFormatting>
  <conditionalFormatting sqref="F861">
    <cfRule type="expression" dxfId="323" priority="444">
      <formula>"="</formula>
    </cfRule>
  </conditionalFormatting>
  <conditionalFormatting sqref="G863">
    <cfRule type="expression" dxfId="322" priority="443">
      <formula>"="</formula>
    </cfRule>
  </conditionalFormatting>
  <conditionalFormatting sqref="E863">
    <cfRule type="expression" dxfId="321" priority="442">
      <formula>"="</formula>
    </cfRule>
  </conditionalFormatting>
  <conditionalFormatting sqref="F863">
    <cfRule type="expression" dxfId="320" priority="441">
      <formula>"="</formula>
    </cfRule>
  </conditionalFormatting>
  <conditionalFormatting sqref="H876">
    <cfRule type="expression" dxfId="319" priority="410">
      <formula>"="</formula>
    </cfRule>
  </conditionalFormatting>
  <conditionalFormatting sqref="C864">
    <cfRule type="expression" dxfId="318" priority="435">
      <formula>"="</formula>
    </cfRule>
  </conditionalFormatting>
  <conditionalFormatting sqref="I876">
    <cfRule type="expression" dxfId="317" priority="408">
      <formula>"="</formula>
    </cfRule>
  </conditionalFormatting>
  <conditionalFormatting sqref="C876">
    <cfRule type="expression" dxfId="316" priority="407">
      <formula>"="</formula>
    </cfRule>
  </conditionalFormatting>
  <conditionalFormatting sqref="F870">
    <cfRule type="expression" dxfId="315" priority="419">
      <formula>"="</formula>
    </cfRule>
  </conditionalFormatting>
  <conditionalFormatting sqref="E873 G873:I873 H874:H875">
    <cfRule type="expression" dxfId="314" priority="418">
      <formula>"="</formula>
    </cfRule>
  </conditionalFormatting>
  <conditionalFormatting sqref="H864">
    <cfRule type="expression" dxfId="313" priority="438">
      <formula>"="</formula>
    </cfRule>
  </conditionalFormatting>
  <conditionalFormatting sqref="F864">
    <cfRule type="expression" dxfId="312" priority="437">
      <formula>"="</formula>
    </cfRule>
  </conditionalFormatting>
  <conditionalFormatting sqref="G864">
    <cfRule type="expression" dxfId="311" priority="440">
      <formula>"="</formula>
    </cfRule>
  </conditionalFormatting>
  <conditionalFormatting sqref="E864">
    <cfRule type="expression" dxfId="310" priority="439">
      <formula>"="</formula>
    </cfRule>
  </conditionalFormatting>
  <conditionalFormatting sqref="B876">
    <cfRule type="expression" dxfId="309" priority="406">
      <formula>"="</formula>
    </cfRule>
  </conditionalFormatting>
  <conditionalFormatting sqref="I864:K864">
    <cfRule type="expression" dxfId="308" priority="436">
      <formula>"="</formula>
    </cfRule>
  </conditionalFormatting>
  <conditionalFormatting sqref="B864">
    <cfRule type="expression" dxfId="307" priority="434">
      <formula>"="</formula>
    </cfRule>
  </conditionalFormatting>
  <conditionalFormatting sqref="B865:B867">
    <cfRule type="expression" dxfId="306" priority="433">
      <formula>"="</formula>
    </cfRule>
  </conditionalFormatting>
  <conditionalFormatting sqref="C865:C873 C875">
    <cfRule type="expression" dxfId="305" priority="432">
      <formula>"="</formula>
    </cfRule>
  </conditionalFormatting>
  <conditionalFormatting sqref="G865:H866">
    <cfRule type="expression" dxfId="304" priority="431">
      <formula>"="</formula>
    </cfRule>
  </conditionalFormatting>
  <conditionalFormatting sqref="E865">
    <cfRule type="expression" dxfId="303" priority="430">
      <formula>"="</formula>
    </cfRule>
  </conditionalFormatting>
  <conditionalFormatting sqref="E866">
    <cfRule type="expression" dxfId="302" priority="429">
      <formula>"="</formula>
    </cfRule>
  </conditionalFormatting>
  <conditionalFormatting sqref="F865">
    <cfRule type="expression" dxfId="301" priority="428">
      <formula>"="</formula>
    </cfRule>
  </conditionalFormatting>
  <conditionalFormatting sqref="F866">
    <cfRule type="expression" dxfId="300" priority="427">
      <formula>"="</formula>
    </cfRule>
  </conditionalFormatting>
  <conditionalFormatting sqref="E870:E872 G867:I872">
    <cfRule type="expression" dxfId="299" priority="426">
      <formula>"="</formula>
    </cfRule>
  </conditionalFormatting>
  <conditionalFormatting sqref="E867:E869">
    <cfRule type="expression" dxfId="298" priority="425">
      <formula>"="</formula>
    </cfRule>
  </conditionalFormatting>
  <conditionalFormatting sqref="F867">
    <cfRule type="expression" dxfId="297" priority="424">
      <formula>"="</formula>
    </cfRule>
  </conditionalFormatting>
  <conditionalFormatting sqref="F869">
    <cfRule type="expression" dxfId="296" priority="423">
      <formula>"="</formula>
    </cfRule>
  </conditionalFormatting>
  <conditionalFormatting sqref="F871">
    <cfRule type="expression" dxfId="295" priority="422">
      <formula>"="</formula>
    </cfRule>
  </conditionalFormatting>
  <conditionalFormatting sqref="F872">
    <cfRule type="expression" dxfId="294" priority="421">
      <formula>"="</formula>
    </cfRule>
  </conditionalFormatting>
  <conditionalFormatting sqref="F868">
    <cfRule type="expression" dxfId="293" priority="420">
      <formula>"="</formula>
    </cfRule>
  </conditionalFormatting>
  <conditionalFormatting sqref="F873">
    <cfRule type="expression" dxfId="292" priority="417">
      <formula>"="</formula>
    </cfRule>
  </conditionalFormatting>
  <conditionalFormatting sqref="I875">
    <cfRule type="expression" dxfId="291" priority="416">
      <formula>"="</formula>
    </cfRule>
  </conditionalFormatting>
  <conditionalFormatting sqref="G875">
    <cfRule type="expression" dxfId="290" priority="415">
      <formula>"="</formula>
    </cfRule>
  </conditionalFormatting>
  <conditionalFormatting sqref="E875">
    <cfRule type="expression" dxfId="289" priority="414">
      <formula>"="</formula>
    </cfRule>
  </conditionalFormatting>
  <conditionalFormatting sqref="F875">
    <cfRule type="expression" dxfId="288" priority="413">
      <formula>"="</formula>
    </cfRule>
  </conditionalFormatting>
  <conditionalFormatting sqref="F876">
    <cfRule type="expression" dxfId="287" priority="409">
      <formula>"="</formula>
    </cfRule>
  </conditionalFormatting>
  <conditionalFormatting sqref="G876">
    <cfRule type="expression" dxfId="286" priority="412">
      <formula>"="</formula>
    </cfRule>
  </conditionalFormatting>
  <conditionalFormatting sqref="E876">
    <cfRule type="expression" dxfId="285" priority="411">
      <formula>"="</formula>
    </cfRule>
  </conditionalFormatting>
  <conditionalFormatting sqref="J876:K876">
    <cfRule type="expression" dxfId="284" priority="405">
      <formula>"="</formula>
    </cfRule>
  </conditionalFormatting>
  <conditionalFormatting sqref="C862">
    <cfRule type="expression" dxfId="283" priority="404">
      <formula>"="</formula>
    </cfRule>
  </conditionalFormatting>
  <conditionalFormatting sqref="E862 G862">
    <cfRule type="expression" dxfId="282" priority="403">
      <formula>"="</formula>
    </cfRule>
  </conditionalFormatting>
  <conditionalFormatting sqref="F862">
    <cfRule type="expression" dxfId="281" priority="402">
      <formula>"="</formula>
    </cfRule>
  </conditionalFormatting>
  <conditionalFormatting sqref="C874">
    <cfRule type="expression" dxfId="280" priority="401">
      <formula>"="</formula>
    </cfRule>
  </conditionalFormatting>
  <conditionalFormatting sqref="E874 G874">
    <cfRule type="expression" dxfId="279" priority="400">
      <formula>"="</formula>
    </cfRule>
  </conditionalFormatting>
  <conditionalFormatting sqref="F874">
    <cfRule type="expression" dxfId="278" priority="399">
      <formula>"="</formula>
    </cfRule>
  </conditionalFormatting>
  <conditionalFormatting sqref="D798:D806">
    <cfRule type="expression" dxfId="277" priority="398">
      <formula>"="</formula>
    </cfRule>
  </conditionalFormatting>
  <conditionalFormatting sqref="D798:D806">
    <cfRule type="expression" dxfId="276" priority="397">
      <formula>"="</formula>
    </cfRule>
  </conditionalFormatting>
  <conditionalFormatting sqref="D796">
    <cfRule type="expression" dxfId="275" priority="396">
      <formula>"="</formula>
    </cfRule>
  </conditionalFormatting>
  <conditionalFormatting sqref="D796">
    <cfRule type="expression" dxfId="274" priority="395">
      <formula>"="</formula>
    </cfRule>
  </conditionalFormatting>
  <conditionalFormatting sqref="D797">
    <cfRule type="expression" dxfId="273" priority="394">
      <formula>"="</formula>
    </cfRule>
  </conditionalFormatting>
  <conditionalFormatting sqref="D797">
    <cfRule type="expression" dxfId="272" priority="393">
      <formula>"="</formula>
    </cfRule>
  </conditionalFormatting>
  <conditionalFormatting sqref="D828:D836">
    <cfRule type="expression" dxfId="271" priority="392">
      <formula>"="</formula>
    </cfRule>
  </conditionalFormatting>
  <conditionalFormatting sqref="D828:D836">
    <cfRule type="expression" dxfId="270" priority="391">
      <formula>"="</formula>
    </cfRule>
  </conditionalFormatting>
  <conditionalFormatting sqref="D826">
    <cfRule type="expression" dxfId="269" priority="390">
      <formula>"="</formula>
    </cfRule>
  </conditionalFormatting>
  <conditionalFormatting sqref="D826">
    <cfRule type="expression" dxfId="268" priority="389">
      <formula>"="</formula>
    </cfRule>
  </conditionalFormatting>
  <conditionalFormatting sqref="D827">
    <cfRule type="expression" dxfId="267" priority="388">
      <formula>"="</formula>
    </cfRule>
  </conditionalFormatting>
  <conditionalFormatting sqref="D827">
    <cfRule type="expression" dxfId="266" priority="387">
      <formula>"="</formula>
    </cfRule>
  </conditionalFormatting>
  <conditionalFormatting sqref="I805">
    <cfRule type="expression" dxfId="265" priority="386">
      <formula>"="</formula>
    </cfRule>
  </conditionalFormatting>
  <conditionalFormatting sqref="I805">
    <cfRule type="expression" dxfId="264" priority="385">
      <formula>"="</formula>
    </cfRule>
  </conditionalFormatting>
  <conditionalFormatting sqref="I835">
    <cfRule type="expression" dxfId="263" priority="384">
      <formula>"="</formula>
    </cfRule>
  </conditionalFormatting>
  <conditionalFormatting sqref="I835">
    <cfRule type="expression" dxfId="262" priority="383">
      <formula>"="</formula>
    </cfRule>
  </conditionalFormatting>
  <conditionalFormatting sqref="I862">
    <cfRule type="expression" dxfId="261" priority="382">
      <formula>"="</formula>
    </cfRule>
  </conditionalFormatting>
  <conditionalFormatting sqref="I862">
    <cfRule type="expression" dxfId="260" priority="381">
      <formula>"="</formula>
    </cfRule>
  </conditionalFormatting>
  <conditionalFormatting sqref="I874">
    <cfRule type="expression" dxfId="259" priority="380">
      <formula>"="</formula>
    </cfRule>
  </conditionalFormatting>
  <conditionalFormatting sqref="I874">
    <cfRule type="expression" dxfId="258" priority="379">
      <formula>"="</formula>
    </cfRule>
  </conditionalFormatting>
  <conditionalFormatting sqref="I796">
    <cfRule type="expression" dxfId="257" priority="378">
      <formula>"="</formula>
    </cfRule>
  </conditionalFormatting>
  <conditionalFormatting sqref="I796">
    <cfRule type="expression" dxfId="256" priority="377">
      <formula>"="</formula>
    </cfRule>
  </conditionalFormatting>
  <conditionalFormatting sqref="I797">
    <cfRule type="expression" dxfId="255" priority="376">
      <formula>"="</formula>
    </cfRule>
  </conditionalFormatting>
  <conditionalFormatting sqref="I797">
    <cfRule type="expression" dxfId="254" priority="375">
      <formula>"="</formula>
    </cfRule>
  </conditionalFormatting>
  <conditionalFormatting sqref="I826">
    <cfRule type="expression" dxfId="253" priority="374">
      <formula>"="</formula>
    </cfRule>
  </conditionalFormatting>
  <conditionalFormatting sqref="I826">
    <cfRule type="expression" dxfId="252" priority="373">
      <formula>"="</formula>
    </cfRule>
  </conditionalFormatting>
  <conditionalFormatting sqref="I827">
    <cfRule type="expression" dxfId="251" priority="372">
      <formula>"="</formula>
    </cfRule>
  </conditionalFormatting>
  <conditionalFormatting sqref="I827">
    <cfRule type="expression" dxfId="250" priority="371">
      <formula>"="</formula>
    </cfRule>
  </conditionalFormatting>
  <conditionalFormatting sqref="I853">
    <cfRule type="expression" dxfId="249" priority="370">
      <formula>"="</formula>
    </cfRule>
  </conditionalFormatting>
  <conditionalFormatting sqref="I853">
    <cfRule type="expression" dxfId="248" priority="369">
      <formula>"="</formula>
    </cfRule>
  </conditionalFormatting>
  <conditionalFormatting sqref="I854">
    <cfRule type="expression" dxfId="247" priority="368">
      <formula>"="</formula>
    </cfRule>
  </conditionalFormatting>
  <conditionalFormatting sqref="I854">
    <cfRule type="expression" dxfId="246" priority="367">
      <formula>"="</formula>
    </cfRule>
  </conditionalFormatting>
  <conditionalFormatting sqref="I865">
    <cfRule type="expression" dxfId="245" priority="366">
      <formula>"="</formula>
    </cfRule>
  </conditionalFormatting>
  <conditionalFormatting sqref="I865">
    <cfRule type="expression" dxfId="244" priority="365">
      <formula>"="</formula>
    </cfRule>
  </conditionalFormatting>
  <conditionalFormatting sqref="I866">
    <cfRule type="expression" dxfId="243" priority="364">
      <formula>"="</formula>
    </cfRule>
  </conditionalFormatting>
  <conditionalFormatting sqref="I866">
    <cfRule type="expression" dxfId="242" priority="363">
      <formula>"="</formula>
    </cfRule>
  </conditionalFormatting>
  <conditionalFormatting sqref="D855:D862">
    <cfRule type="expression" dxfId="241" priority="362">
      <formula>"="</formula>
    </cfRule>
  </conditionalFormatting>
  <conditionalFormatting sqref="D855:D862">
    <cfRule type="expression" dxfId="240" priority="361">
      <formula>"="</formula>
    </cfRule>
  </conditionalFormatting>
  <conditionalFormatting sqref="D853">
    <cfRule type="expression" dxfId="239" priority="360">
      <formula>"="</formula>
    </cfRule>
  </conditionalFormatting>
  <conditionalFormatting sqref="D853">
    <cfRule type="expression" dxfId="238" priority="359">
      <formula>"="</formula>
    </cfRule>
  </conditionalFormatting>
  <conditionalFormatting sqref="D854">
    <cfRule type="expression" dxfId="237" priority="358">
      <formula>"="</formula>
    </cfRule>
  </conditionalFormatting>
  <conditionalFormatting sqref="D854">
    <cfRule type="expression" dxfId="236" priority="357">
      <formula>"="</formula>
    </cfRule>
  </conditionalFormatting>
  <conditionalFormatting sqref="D867:D874">
    <cfRule type="expression" dxfId="235" priority="356">
      <formula>"="</formula>
    </cfRule>
  </conditionalFormatting>
  <conditionalFormatting sqref="D867:D874">
    <cfRule type="expression" dxfId="234" priority="355">
      <formula>"="</formula>
    </cfRule>
  </conditionalFormatting>
  <conditionalFormatting sqref="D865">
    <cfRule type="expression" dxfId="233" priority="354">
      <formula>"="</formula>
    </cfRule>
  </conditionalFormatting>
  <conditionalFormatting sqref="D865">
    <cfRule type="expression" dxfId="232" priority="353">
      <formula>"="</formula>
    </cfRule>
  </conditionalFormatting>
  <conditionalFormatting sqref="D866">
    <cfRule type="expression" dxfId="231" priority="352">
      <formula>"="</formula>
    </cfRule>
  </conditionalFormatting>
  <conditionalFormatting sqref="D866">
    <cfRule type="expression" dxfId="230" priority="351">
      <formula>"="</formula>
    </cfRule>
  </conditionalFormatting>
  <conditionalFormatting sqref="D824:D825">
    <cfRule type="expression" dxfId="229" priority="350">
      <formula>"="</formula>
    </cfRule>
  </conditionalFormatting>
  <conditionalFormatting sqref="D824:D825">
    <cfRule type="expression" dxfId="228" priority="349">
      <formula>"="</formula>
    </cfRule>
  </conditionalFormatting>
  <conditionalFormatting sqref="D851:D852">
    <cfRule type="expression" dxfId="227" priority="348">
      <formula>"="</formula>
    </cfRule>
  </conditionalFormatting>
  <conditionalFormatting sqref="D851:D852">
    <cfRule type="expression" dxfId="226" priority="347">
      <formula>"="</formula>
    </cfRule>
  </conditionalFormatting>
  <conditionalFormatting sqref="D863:D864">
    <cfRule type="expression" dxfId="225" priority="346">
      <formula>"="</formula>
    </cfRule>
  </conditionalFormatting>
  <conditionalFormatting sqref="D863:D864">
    <cfRule type="expression" dxfId="224" priority="345">
      <formula>"="</formula>
    </cfRule>
  </conditionalFormatting>
  <conditionalFormatting sqref="D875:D876">
    <cfRule type="expression" dxfId="223" priority="344">
      <formula>"="</formula>
    </cfRule>
  </conditionalFormatting>
  <conditionalFormatting sqref="D875:D876">
    <cfRule type="expression" dxfId="222" priority="343">
      <formula>"="</formula>
    </cfRule>
  </conditionalFormatting>
  <conditionalFormatting sqref="B799:B824">
    <cfRule type="expression" dxfId="221" priority="342">
      <formula>"="</formula>
    </cfRule>
  </conditionalFormatting>
  <conditionalFormatting sqref="B799:B824">
    <cfRule type="expression" dxfId="220" priority="341">
      <formula>"="</formula>
    </cfRule>
  </conditionalFormatting>
  <conditionalFormatting sqref="B830:B851">
    <cfRule type="expression" dxfId="219" priority="340">
      <formula>"="</formula>
    </cfRule>
  </conditionalFormatting>
  <conditionalFormatting sqref="B856:B863">
    <cfRule type="expression" dxfId="218" priority="339">
      <formula>"="</formula>
    </cfRule>
  </conditionalFormatting>
  <conditionalFormatting sqref="B868:B875">
    <cfRule type="expression" dxfId="217" priority="338">
      <formula>"="</formula>
    </cfRule>
  </conditionalFormatting>
  <conditionalFormatting sqref="F603">
    <cfRule type="expression" dxfId="216" priority="335">
      <formula>"="</formula>
    </cfRule>
  </conditionalFormatting>
  <conditionalFormatting sqref="E597:E613">
    <cfRule type="expression" dxfId="215" priority="332">
      <formula>"="</formula>
    </cfRule>
  </conditionalFormatting>
  <conditionalFormatting sqref="C597:C613">
    <cfRule type="expression" dxfId="214" priority="331">
      <formula>"="</formula>
    </cfRule>
  </conditionalFormatting>
  <conditionalFormatting sqref="I598:I613">
    <cfRule type="expression" dxfId="213" priority="330">
      <formula>"="</formula>
    </cfRule>
  </conditionalFormatting>
  <conditionalFormatting sqref="D291:E291 D293:E302 G293:I302 G291:I291">
    <cfRule type="expression" dxfId="212" priority="329">
      <formula>"="</formula>
    </cfRule>
  </conditionalFormatting>
  <conditionalFormatting sqref="D291:E291 D293:E302">
    <cfRule type="expression" dxfId="211" priority="328">
      <formula>"="</formula>
    </cfRule>
  </conditionalFormatting>
  <conditionalFormatting sqref="J291">
    <cfRule type="expression" dxfId="210" priority="323">
      <formula>"="</formula>
    </cfRule>
  </conditionalFormatting>
  <conditionalFormatting sqref="F291">
    <cfRule type="expression" dxfId="209" priority="317">
      <formula>"="</formula>
    </cfRule>
  </conditionalFormatting>
  <conditionalFormatting sqref="F293">
    <cfRule type="expression" dxfId="208" priority="316">
      <formula>"="</formula>
    </cfRule>
  </conditionalFormatting>
  <conditionalFormatting sqref="F296">
    <cfRule type="expression" dxfId="207" priority="315">
      <formula>"="</formula>
    </cfRule>
  </conditionalFormatting>
  <conditionalFormatting sqref="F294">
    <cfRule type="expression" dxfId="206" priority="314">
      <formula>"="</formula>
    </cfRule>
  </conditionalFormatting>
  <conditionalFormatting sqref="F295">
    <cfRule type="expression" dxfId="205" priority="313">
      <formula>"="</formula>
    </cfRule>
  </conditionalFormatting>
  <conditionalFormatting sqref="F297">
    <cfRule type="expression" dxfId="204" priority="312">
      <formula>"="</formula>
    </cfRule>
  </conditionalFormatting>
  <conditionalFormatting sqref="F298">
    <cfRule type="expression" dxfId="203" priority="311">
      <formula>"="</formula>
    </cfRule>
  </conditionalFormatting>
  <conditionalFormatting sqref="F299">
    <cfRule type="expression" dxfId="202" priority="310">
      <formula>"="</formula>
    </cfRule>
  </conditionalFormatting>
  <conditionalFormatting sqref="F300">
    <cfRule type="expression" dxfId="201" priority="309">
      <formula>"="</formula>
    </cfRule>
  </conditionalFormatting>
  <conditionalFormatting sqref="F301">
    <cfRule type="expression" dxfId="200" priority="308">
      <formula>"="</formula>
    </cfRule>
  </conditionalFormatting>
  <conditionalFormatting sqref="F302">
    <cfRule type="expression" dxfId="199" priority="307">
      <formula>"="</formula>
    </cfRule>
  </conditionalFormatting>
  <conditionalFormatting sqref="B291">
    <cfRule type="expression" dxfId="198" priority="306">
      <formula>"="</formula>
    </cfRule>
  </conditionalFormatting>
  <conditionalFormatting sqref="B291">
    <cfRule type="expression" dxfId="197" priority="305">
      <formula>"="</formula>
    </cfRule>
  </conditionalFormatting>
  <conditionalFormatting sqref="C291">
    <cfRule type="expression" dxfId="196" priority="304">
      <formula>"="</formula>
    </cfRule>
  </conditionalFormatting>
  <conditionalFormatting sqref="D292:E292 G292:I292">
    <cfRule type="expression" dxfId="195" priority="301">
      <formula>"="</formula>
    </cfRule>
  </conditionalFormatting>
  <conditionalFormatting sqref="D292:E292">
    <cfRule type="expression" dxfId="194" priority="300">
      <formula>"="</formula>
    </cfRule>
  </conditionalFormatting>
  <conditionalFormatting sqref="F292">
    <cfRule type="expression" dxfId="193" priority="299">
      <formula>"="</formula>
    </cfRule>
  </conditionalFormatting>
  <conditionalFormatting sqref="B302">
    <cfRule type="expression" dxfId="192" priority="294">
      <formula>"="</formula>
    </cfRule>
  </conditionalFormatting>
  <conditionalFormatting sqref="C292">
    <cfRule type="expression" dxfId="191" priority="297">
      <formula>"="</formula>
    </cfRule>
  </conditionalFormatting>
  <conditionalFormatting sqref="B292:B301">
    <cfRule type="expression" dxfId="190" priority="296">
      <formula>"="</formula>
    </cfRule>
  </conditionalFormatting>
  <conditionalFormatting sqref="B292:B301">
    <cfRule type="expression" dxfId="189" priority="295">
      <formula>"="</formula>
    </cfRule>
  </conditionalFormatting>
  <conditionalFormatting sqref="J292:J302">
    <cfRule type="expression" dxfId="188" priority="293">
      <formula>"="</formula>
    </cfRule>
  </conditionalFormatting>
  <conditionalFormatting sqref="C293:C302">
    <cfRule type="expression" dxfId="187" priority="292">
      <formula>"="</formula>
    </cfRule>
  </conditionalFormatting>
  <conditionalFormatting sqref="J616:J632 B615 H616:H633 G616:G632 D615:D633">
    <cfRule type="expression" dxfId="186" priority="289">
      <formula>"="</formula>
    </cfRule>
  </conditionalFormatting>
  <conditionalFormatting sqref="B615 D615:D633">
    <cfRule type="expression" dxfId="185" priority="288">
      <formula>"="</formula>
    </cfRule>
  </conditionalFormatting>
  <conditionalFormatting sqref="E633 J633 G633">
    <cfRule type="expression" dxfId="184" priority="287">
      <formula>"="</formula>
    </cfRule>
  </conditionalFormatting>
  <conditionalFormatting sqref="I615:J615">
    <cfRule type="expression" dxfId="183" priority="286">
      <formula>"="</formula>
    </cfRule>
  </conditionalFormatting>
  <conditionalFormatting sqref="F617">
    <cfRule type="expression" dxfId="182" priority="284">
      <formula>"="</formula>
    </cfRule>
  </conditionalFormatting>
  <conditionalFormatting sqref="F615:F616">
    <cfRule type="expression" dxfId="181" priority="285">
      <formula>"="</formula>
    </cfRule>
  </conditionalFormatting>
  <conditionalFormatting sqref="E615 G615:H615">
    <cfRule type="expression" dxfId="180" priority="283">
      <formula>"="</formula>
    </cfRule>
  </conditionalFormatting>
  <conditionalFormatting sqref="F618">
    <cfRule type="expression" dxfId="179" priority="282">
      <formula>"="</formula>
    </cfRule>
  </conditionalFormatting>
  <conditionalFormatting sqref="F619">
    <cfRule type="expression" dxfId="178" priority="281">
      <formula>"="</formula>
    </cfRule>
  </conditionalFormatting>
  <conditionalFormatting sqref="F620">
    <cfRule type="expression" dxfId="177" priority="280">
      <formula>"="</formula>
    </cfRule>
  </conditionalFormatting>
  <conditionalFormatting sqref="F621">
    <cfRule type="expression" dxfId="176" priority="279">
      <formula>"="</formula>
    </cfRule>
  </conditionalFormatting>
  <conditionalFormatting sqref="F633">
    <cfRule type="expression" dxfId="175" priority="278">
      <formula>"="</formula>
    </cfRule>
  </conditionalFormatting>
  <conditionalFormatting sqref="F623:F632">
    <cfRule type="expression" dxfId="174" priority="277">
      <formula>"="</formula>
    </cfRule>
  </conditionalFormatting>
  <conditionalFormatting sqref="C615">
    <cfRule type="expression" dxfId="173" priority="275">
      <formula>"="</formula>
    </cfRule>
  </conditionalFormatting>
  <conditionalFormatting sqref="I616">
    <cfRule type="expression" dxfId="172" priority="276">
      <formula>"="</formula>
    </cfRule>
  </conditionalFormatting>
  <conditionalFormatting sqref="F622">
    <cfRule type="expression" dxfId="171" priority="274">
      <formula>"="</formula>
    </cfRule>
  </conditionalFormatting>
  <conditionalFormatting sqref="E616:E632">
    <cfRule type="expression" dxfId="170" priority="273">
      <formula>"="</formula>
    </cfRule>
  </conditionalFormatting>
  <conditionalFormatting sqref="C616:C633">
    <cfRule type="expression" dxfId="169" priority="272">
      <formula>"="</formula>
    </cfRule>
  </conditionalFormatting>
  <conditionalFormatting sqref="I617:I632">
    <cfRule type="expression" dxfId="168" priority="271">
      <formula>"="</formula>
    </cfRule>
  </conditionalFormatting>
  <conditionalFormatting sqref="B616:B632">
    <cfRule type="expression" dxfId="167" priority="270">
      <formula>"="</formula>
    </cfRule>
  </conditionalFormatting>
  <conditionalFormatting sqref="B616:B632">
    <cfRule type="expression" dxfId="166" priority="269">
      <formula>"="</formula>
    </cfRule>
  </conditionalFormatting>
  <conditionalFormatting sqref="B614">
    <cfRule type="expression" dxfId="165" priority="268">
      <formula>"="</formula>
    </cfRule>
  </conditionalFormatting>
  <conditionalFormatting sqref="B614">
    <cfRule type="expression" dxfId="164" priority="267">
      <formula>"="</formula>
    </cfRule>
  </conditionalFormatting>
  <conditionalFormatting sqref="B633">
    <cfRule type="expression" dxfId="163" priority="264">
      <formula>"="</formula>
    </cfRule>
  </conditionalFormatting>
  <conditionalFormatting sqref="B633">
    <cfRule type="expression" dxfId="162" priority="263">
      <formula>"="</formula>
    </cfRule>
  </conditionalFormatting>
  <conditionalFormatting sqref="B597:B613">
    <cfRule type="expression" dxfId="161" priority="260">
      <formula>"="</formula>
    </cfRule>
  </conditionalFormatting>
  <conditionalFormatting sqref="B597:B613">
    <cfRule type="expression" dxfId="160" priority="259">
      <formula>"="</formula>
    </cfRule>
  </conditionalFormatting>
  <conditionalFormatting sqref="I614">
    <cfRule type="expression" dxfId="159" priority="258">
      <formula>"="</formula>
    </cfRule>
  </conditionalFormatting>
  <conditionalFormatting sqref="I614">
    <cfRule type="expression" dxfId="158" priority="257">
      <formula>"="</formula>
    </cfRule>
  </conditionalFormatting>
  <conditionalFormatting sqref="I633">
    <cfRule type="expression" dxfId="157" priority="256">
      <formula>"="</formula>
    </cfRule>
  </conditionalFormatting>
  <conditionalFormatting sqref="I633">
    <cfRule type="expression" dxfId="156" priority="255">
      <formula>"="</formula>
    </cfRule>
  </conditionalFormatting>
  <conditionalFormatting sqref="C614">
    <cfRule type="expression" dxfId="155" priority="205">
      <formula>"="</formula>
    </cfRule>
  </conditionalFormatting>
  <conditionalFormatting sqref="D147">
    <cfRule type="expression" dxfId="154" priority="190">
      <formula>"="</formula>
    </cfRule>
  </conditionalFormatting>
  <conditionalFormatting sqref="D147">
    <cfRule type="expression" dxfId="153" priority="189">
      <formula>"="</formula>
    </cfRule>
  </conditionalFormatting>
  <conditionalFormatting sqref="B357 D357:E357 B374 D359:E374 G359:I374 G357:H357">
    <cfRule type="expression" dxfId="152" priority="186">
      <formula>"="</formula>
    </cfRule>
  </conditionalFormatting>
  <conditionalFormatting sqref="D357 B357 B374 D359:D374">
    <cfRule type="expression" dxfId="151" priority="185">
      <formula>"="</formula>
    </cfRule>
  </conditionalFormatting>
  <conditionalFormatting sqref="J374">
    <cfRule type="expression" dxfId="150" priority="184">
      <formula>"="</formula>
    </cfRule>
  </conditionalFormatting>
  <conditionalFormatting sqref="I357:J357 J359:J373">
    <cfRule type="expression" dxfId="149" priority="183">
      <formula>"="</formula>
    </cfRule>
  </conditionalFormatting>
  <conditionalFormatting sqref="F359">
    <cfRule type="expression" dxfId="148" priority="182">
      <formula>"="</formula>
    </cfRule>
  </conditionalFormatting>
  <conditionalFormatting sqref="F357">
    <cfRule type="expression" dxfId="147" priority="181">
      <formula>"="</formula>
    </cfRule>
  </conditionalFormatting>
  <conditionalFormatting sqref="F373">
    <cfRule type="expression" dxfId="146" priority="180">
      <formula>"="</formula>
    </cfRule>
  </conditionalFormatting>
  <conditionalFormatting sqref="F374">
    <cfRule type="expression" dxfId="145" priority="179">
      <formula>"="</formula>
    </cfRule>
  </conditionalFormatting>
  <conditionalFormatting sqref="F360">
    <cfRule type="expression" dxfId="144" priority="178">
      <formula>"="</formula>
    </cfRule>
  </conditionalFormatting>
  <conditionalFormatting sqref="F361">
    <cfRule type="expression" dxfId="143" priority="177">
      <formula>"="</formula>
    </cfRule>
  </conditionalFormatting>
  <conditionalFormatting sqref="F362">
    <cfRule type="expression" dxfId="142" priority="176">
      <formula>"="</formula>
    </cfRule>
  </conditionalFormatting>
  <conditionalFormatting sqref="F363">
    <cfRule type="expression" dxfId="141" priority="175">
      <formula>"="</formula>
    </cfRule>
  </conditionalFormatting>
  <conditionalFormatting sqref="F364">
    <cfRule type="expression" dxfId="140" priority="174">
      <formula>"="</formula>
    </cfRule>
  </conditionalFormatting>
  <conditionalFormatting sqref="F365">
    <cfRule type="expression" dxfId="139" priority="173">
      <formula>"="</formula>
    </cfRule>
  </conditionalFormatting>
  <conditionalFormatting sqref="F366">
    <cfRule type="expression" dxfId="138" priority="172">
      <formula>"="</formula>
    </cfRule>
  </conditionalFormatting>
  <conditionalFormatting sqref="F367">
    <cfRule type="expression" dxfId="137" priority="171">
      <formula>"="</formula>
    </cfRule>
  </conditionalFormatting>
  <conditionalFormatting sqref="F368">
    <cfRule type="expression" dxfId="136" priority="170">
      <formula>"="</formula>
    </cfRule>
  </conditionalFormatting>
  <conditionalFormatting sqref="F369">
    <cfRule type="expression" dxfId="135" priority="169">
      <formula>"="</formula>
    </cfRule>
  </conditionalFormatting>
  <conditionalFormatting sqref="F370">
    <cfRule type="expression" dxfId="134" priority="168">
      <formula>"="</formula>
    </cfRule>
  </conditionalFormatting>
  <conditionalFormatting sqref="F371">
    <cfRule type="expression" dxfId="133" priority="167">
      <formula>"="</formula>
    </cfRule>
  </conditionalFormatting>
  <conditionalFormatting sqref="F372">
    <cfRule type="expression" dxfId="132" priority="166">
      <formula>"="</formula>
    </cfRule>
  </conditionalFormatting>
  <conditionalFormatting sqref="E357">
    <cfRule type="expression" dxfId="131" priority="165">
      <formula>"="</formula>
    </cfRule>
  </conditionalFormatting>
  <conditionalFormatting sqref="B358 D358:E358 G358:I358">
    <cfRule type="expression" dxfId="130" priority="164">
      <formula>"="</formula>
    </cfRule>
  </conditionalFormatting>
  <conditionalFormatting sqref="B358 D358:E358">
    <cfRule type="expression" dxfId="129" priority="163">
      <formula>"="</formula>
    </cfRule>
  </conditionalFormatting>
  <conditionalFormatting sqref="F358">
    <cfRule type="expression" dxfId="128" priority="162">
      <formula>"="</formula>
    </cfRule>
  </conditionalFormatting>
  <conditionalFormatting sqref="J358">
    <cfRule type="expression" dxfId="127" priority="161">
      <formula>"="</formula>
    </cfRule>
  </conditionalFormatting>
  <conditionalFormatting sqref="C359 C361 C363 C365 C367 C369 C371 C373">
    <cfRule type="expression" dxfId="126" priority="158">
      <formula>"="</formula>
    </cfRule>
  </conditionalFormatting>
  <conditionalFormatting sqref="C360 C362 C364 C366 C368 C370 C372 C374">
    <cfRule type="expression" dxfId="125" priority="159">
      <formula>"="</formula>
    </cfRule>
  </conditionalFormatting>
  <conditionalFormatting sqref="C357">
    <cfRule type="expression" dxfId="124" priority="160">
      <formula>"="</formula>
    </cfRule>
  </conditionalFormatting>
  <conditionalFormatting sqref="C358">
    <cfRule type="expression" dxfId="123" priority="157">
      <formula>"="</formula>
    </cfRule>
  </conditionalFormatting>
  <conditionalFormatting sqref="B359:B373">
    <cfRule type="expression" dxfId="122" priority="156">
      <formula>"="</formula>
    </cfRule>
  </conditionalFormatting>
  <conditionalFormatting sqref="B359:B373">
    <cfRule type="expression" dxfId="121" priority="155">
      <formula>"="</formula>
    </cfRule>
  </conditionalFormatting>
  <conditionalFormatting sqref="K918:K919 A918:A919 G917:J918">
    <cfRule type="expression" dxfId="120" priority="121">
      <formula>"="</formula>
    </cfRule>
  </conditionalFormatting>
  <conditionalFormatting sqref="D923">
    <cfRule type="expression" dxfId="119" priority="120">
      <formula>"="</formula>
    </cfRule>
  </conditionalFormatting>
  <conditionalFormatting sqref="D922">
    <cfRule type="expression" dxfId="118" priority="119">
      <formula>"="</formula>
    </cfRule>
  </conditionalFormatting>
  <conditionalFormatting sqref="K917 E919 J919">
    <cfRule type="expression" dxfId="117" priority="118">
      <formula>"="</formula>
    </cfRule>
  </conditionalFormatting>
  <conditionalFormatting sqref="D919">
    <cfRule type="expression" dxfId="116" priority="116">
      <formula>"="</formula>
    </cfRule>
  </conditionalFormatting>
  <conditionalFormatting sqref="G919">
    <cfRule type="expression" dxfId="115" priority="115">
      <formula>"="</formula>
    </cfRule>
  </conditionalFormatting>
  <conditionalFormatting sqref="I919">
    <cfRule type="expression" dxfId="114" priority="114">
      <formula>"="</formula>
    </cfRule>
  </conditionalFormatting>
  <conditionalFormatting sqref="B917 E917">
    <cfRule type="expression" dxfId="113" priority="113">
      <formula>"="</formula>
    </cfRule>
  </conditionalFormatting>
  <conditionalFormatting sqref="B918 E918 H919">
    <cfRule type="expression" dxfId="112" priority="112">
      <formula>"="</formula>
    </cfRule>
  </conditionalFormatting>
  <conditionalFormatting sqref="A917">
    <cfRule type="expression" dxfId="111" priority="111">
      <formula>"="</formula>
    </cfRule>
  </conditionalFormatting>
  <conditionalFormatting sqref="C918">
    <cfRule type="expression" dxfId="110" priority="109">
      <formula>"="</formula>
    </cfRule>
  </conditionalFormatting>
  <conditionalFormatting sqref="C917">
    <cfRule type="expression" dxfId="109" priority="108">
      <formula>"="</formula>
    </cfRule>
  </conditionalFormatting>
  <conditionalFormatting sqref="C919:C923">
    <cfRule type="expression" dxfId="108" priority="107">
      <formula>"="</formula>
    </cfRule>
  </conditionalFormatting>
  <conditionalFormatting sqref="F923">
    <cfRule type="expression" dxfId="107" priority="100">
      <formula>"="</formula>
    </cfRule>
  </conditionalFormatting>
  <conditionalFormatting sqref="F917">
    <cfRule type="expression" dxfId="106" priority="106">
      <formula>"="</formula>
    </cfRule>
  </conditionalFormatting>
  <conditionalFormatting sqref="F919">
    <cfRule type="expression" dxfId="105" priority="105">
      <formula>"="</formula>
    </cfRule>
  </conditionalFormatting>
  <conditionalFormatting sqref="F918">
    <cfRule type="expression" dxfId="104" priority="104">
      <formula>"="</formula>
    </cfRule>
  </conditionalFormatting>
  <conditionalFormatting sqref="F920">
    <cfRule type="expression" dxfId="103" priority="103">
      <formula>"="</formula>
    </cfRule>
  </conditionalFormatting>
  <conditionalFormatting sqref="F921">
    <cfRule type="expression" dxfId="102" priority="102">
      <formula>"="</formula>
    </cfRule>
  </conditionalFormatting>
  <conditionalFormatting sqref="F922">
    <cfRule type="expression" dxfId="101" priority="101">
      <formula>"="</formula>
    </cfRule>
  </conditionalFormatting>
  <conditionalFormatting sqref="B919:B922">
    <cfRule type="expression" dxfId="100" priority="99">
      <formula>"="</formula>
    </cfRule>
  </conditionalFormatting>
  <conditionalFormatting sqref="D917">
    <cfRule type="expression" dxfId="99" priority="98">
      <formula>"="</formula>
    </cfRule>
  </conditionalFormatting>
  <conditionalFormatting sqref="D917">
    <cfRule type="expression" dxfId="98" priority="97">
      <formula>"="</formula>
    </cfRule>
  </conditionalFormatting>
  <conditionalFormatting sqref="D918">
    <cfRule type="expression" dxfId="97" priority="96">
      <formula>"="</formula>
    </cfRule>
  </conditionalFormatting>
  <conditionalFormatting sqref="D918">
    <cfRule type="expression" dxfId="96" priority="95">
      <formula>"="</formula>
    </cfRule>
  </conditionalFormatting>
  <conditionalFormatting sqref="B512">
    <cfRule type="expression" dxfId="95" priority="94">
      <formula>"="</formula>
    </cfRule>
  </conditionalFormatting>
  <conditionalFormatting sqref="B512">
    <cfRule type="expression" dxfId="94" priority="93">
      <formula>"="</formula>
    </cfRule>
  </conditionalFormatting>
  <conditionalFormatting sqref="E512 G512">
    <cfRule type="expression" dxfId="93" priority="91">
      <formula>"="</formula>
    </cfRule>
  </conditionalFormatting>
  <conditionalFormatting sqref="F512">
    <cfRule type="expression" dxfId="92" priority="90">
      <formula>"="</formula>
    </cfRule>
  </conditionalFormatting>
  <conditionalFormatting sqref="B924:B937 B970:B1224">
    <cfRule type="expression" dxfId="91" priority="86">
      <formula>($A924=OFFSET($A924,-1,0))*(ROW($A924)&gt;3)</formula>
    </cfRule>
  </conditionalFormatting>
  <conditionalFormatting sqref="B924:B937 B970:B1224 E974:I974 E948:H973 E997:I997 E975:H996 E998:H1202 D1203:H1206 E1217:H1219 D1221:I1224 D1207:I1216 E1220:I1220">
    <cfRule type="expression" dxfId="90" priority="85">
      <formula>($A924&lt;&gt;OFFSET($A924,1,0))*(ROW($A924)&gt;=2)</formula>
    </cfRule>
  </conditionalFormatting>
  <conditionalFormatting sqref="D1108:D1119">
    <cfRule type="expression" dxfId="89" priority="55">
      <formula>($A1108&lt;&gt;OFFSET($A1108,1,0))*(ROW($A1108)&gt;=2)</formula>
    </cfRule>
  </conditionalFormatting>
  <conditionalFormatting sqref="F924:H937">
    <cfRule type="expression" dxfId="88" priority="83">
      <formula>($A924&lt;&gt;OFFSET($A924,1,0))*(ROW($A924)&gt;=2)</formula>
    </cfRule>
  </conditionalFormatting>
  <conditionalFormatting sqref="E924:E937">
    <cfRule type="expression" dxfId="87" priority="82">
      <formula>($A924&lt;&gt;OFFSET($A924,1,0))*(ROW($A924)&gt;=2)</formula>
    </cfRule>
  </conditionalFormatting>
  <conditionalFormatting sqref="D1145:D1153">
    <cfRule type="expression" dxfId="86" priority="52">
      <formula>($A1145&lt;&gt;OFFSET($A1145,1,0))*(ROW($A1145)&gt;=2)</formula>
    </cfRule>
  </conditionalFormatting>
  <conditionalFormatting sqref="D1086:D1094">
    <cfRule type="expression" dxfId="85" priority="57">
      <formula>($A1086&lt;&gt;OFFSET($A1086,1,0))*(ROW($A1086)&gt;=2)</formula>
    </cfRule>
  </conditionalFormatting>
  <conditionalFormatting sqref="E938:H947">
    <cfRule type="expression" dxfId="84" priority="78">
      <formula>($A938&lt;&gt;OFFSET($A938,1,0))*(ROW($A938)&gt;=2)</formula>
    </cfRule>
  </conditionalFormatting>
  <conditionalFormatting sqref="D1181:D1190">
    <cfRule type="expression" dxfId="83" priority="49">
      <formula>($A1181&lt;&gt;OFFSET($A1181,1,0))*(ROW($A1181)&gt;=2)</formula>
    </cfRule>
  </conditionalFormatting>
  <conditionalFormatting sqref="D924:D937">
    <cfRule type="expression" dxfId="82" priority="77">
      <formula>($A924&lt;&gt;OFFSET($A924,1,0))*(ROW($A924)&gt;=2)</formula>
    </cfRule>
  </conditionalFormatting>
  <conditionalFormatting sqref="B938:B947">
    <cfRule type="expression" dxfId="81" priority="76">
      <formula>($A938=OFFSET($A938,-1,0))*(ROW($A938)&gt;3)</formula>
    </cfRule>
  </conditionalFormatting>
  <conditionalFormatting sqref="B938:B947">
    <cfRule type="expression" dxfId="80" priority="75">
      <formula>($A938&lt;&gt;OFFSET($A938,1,0))*(ROW($A938)&gt;=2)</formula>
    </cfRule>
  </conditionalFormatting>
  <conditionalFormatting sqref="B948:B957">
    <cfRule type="expression" dxfId="79" priority="74">
      <formula>($A948=OFFSET($A948,-1,0))*(ROW($A948)&gt;3)</formula>
    </cfRule>
  </conditionalFormatting>
  <conditionalFormatting sqref="B948:B957">
    <cfRule type="expression" dxfId="78" priority="73">
      <formula>($A948&lt;&gt;OFFSET($A948,1,0))*(ROW($A948)&gt;=2)</formula>
    </cfRule>
  </conditionalFormatting>
  <conditionalFormatting sqref="B958:B969">
    <cfRule type="expression" dxfId="77" priority="72">
      <formula>($A958=OFFSET($A958,-1,0))*(ROW($A958)&gt;3)</formula>
    </cfRule>
  </conditionalFormatting>
  <conditionalFormatting sqref="B958:B969">
    <cfRule type="expression" dxfId="76" priority="71">
      <formula>($A958&lt;&gt;OFFSET($A958,1,0))*(ROW($A958)&gt;=2)</formula>
    </cfRule>
  </conditionalFormatting>
  <conditionalFormatting sqref="D938:D947">
    <cfRule type="expression" dxfId="75" priority="70">
      <formula>($A938&lt;&gt;OFFSET($A938,1,0))*(ROW($A938)&gt;=2)</formula>
    </cfRule>
  </conditionalFormatting>
  <conditionalFormatting sqref="D958:D969">
    <cfRule type="expression" dxfId="74" priority="69">
      <formula>($A958&lt;&gt;OFFSET($A958,1,0))*(ROW($A958)&gt;=2)</formula>
    </cfRule>
  </conditionalFormatting>
  <conditionalFormatting sqref="D982:D992">
    <cfRule type="expression" dxfId="73" priority="68">
      <formula>($A982&lt;&gt;OFFSET($A982,1,0))*(ROW($A982)&gt;=2)</formula>
    </cfRule>
  </conditionalFormatting>
  <conditionalFormatting sqref="D1004:D1012">
    <cfRule type="expression" dxfId="72" priority="67">
      <formula>($A1004&lt;&gt;OFFSET($A1004,1,0))*(ROW($A1004)&gt;=2)</formula>
    </cfRule>
  </conditionalFormatting>
  <conditionalFormatting sqref="D1013:D1026">
    <cfRule type="expression" dxfId="71" priority="66">
      <formula>($A1013&lt;&gt;OFFSET($A1013,1,0))*(ROW($A1013)&gt;=2)</formula>
    </cfRule>
  </conditionalFormatting>
  <conditionalFormatting sqref="D1027:D1040">
    <cfRule type="expression" dxfId="70" priority="65">
      <formula>($A1027&lt;&gt;OFFSET($A1027,1,0))*(ROW($A1027)&gt;=2)</formula>
    </cfRule>
  </conditionalFormatting>
  <conditionalFormatting sqref="D1041:D1054">
    <cfRule type="expression" dxfId="69" priority="64">
      <formula>($A1041&lt;&gt;OFFSET($A1041,1,0))*(ROW($A1041)&gt;=2)</formula>
    </cfRule>
  </conditionalFormatting>
  <conditionalFormatting sqref="D1055:D1062">
    <cfRule type="expression" dxfId="68" priority="63">
      <formula>($A1055&lt;&gt;OFFSET($A1055,1,0))*(ROW($A1055)&gt;=2)</formula>
    </cfRule>
  </conditionalFormatting>
  <conditionalFormatting sqref="D1063:D1073">
    <cfRule type="expression" dxfId="67" priority="62">
      <formula>($A1063&lt;&gt;OFFSET($A1063,1,0))*(ROW($A1063)&gt;=2)</formula>
    </cfRule>
  </conditionalFormatting>
  <conditionalFormatting sqref="D1074:D1085">
    <cfRule type="expression" dxfId="66" priority="61">
      <formula>($A1074&lt;&gt;OFFSET($A1074,1,0))*(ROW($A1074)&gt;=2)</formula>
    </cfRule>
  </conditionalFormatting>
  <conditionalFormatting sqref="D948:D957">
    <cfRule type="expression" dxfId="65" priority="60">
      <formula>($A948&lt;&gt;OFFSET($A948,1,0))*(ROW($A948)&gt;=2)</formula>
    </cfRule>
  </conditionalFormatting>
  <conditionalFormatting sqref="D970:D981">
    <cfRule type="expression" dxfId="64" priority="59">
      <formula>($A970&lt;&gt;OFFSET($A970,1,0))*(ROW($A970)&gt;=2)</formula>
    </cfRule>
  </conditionalFormatting>
  <conditionalFormatting sqref="D993:D1003">
    <cfRule type="expression" dxfId="63" priority="58">
      <formula>($A993&lt;&gt;OFFSET($A993,1,0))*(ROW($A993)&gt;=2)</formula>
    </cfRule>
  </conditionalFormatting>
  <conditionalFormatting sqref="D1095:D1107">
    <cfRule type="expression" dxfId="62" priority="56">
      <formula>($A1095&lt;&gt;OFFSET($A1095,1,0))*(ROW($A1095)&gt;=2)</formula>
    </cfRule>
  </conditionalFormatting>
  <conditionalFormatting sqref="D1120:D1132">
    <cfRule type="expression" dxfId="61" priority="54">
      <formula>($A1120&lt;&gt;OFFSET($A1120,1,0))*(ROW($A1120)&gt;=2)</formula>
    </cfRule>
  </conditionalFormatting>
  <conditionalFormatting sqref="D1133:D1144">
    <cfRule type="expression" dxfId="60" priority="53">
      <formula>($A1133&lt;&gt;OFFSET($A1133,1,0))*(ROW($A1133)&gt;=2)</formula>
    </cfRule>
  </conditionalFormatting>
  <conditionalFormatting sqref="D1154:D1165">
    <cfRule type="expression" dxfId="59" priority="51">
      <formula>($A1154&lt;&gt;OFFSET($A1154,1,0))*(ROW($A1154)&gt;=2)</formula>
    </cfRule>
  </conditionalFormatting>
  <conditionalFormatting sqref="D1166:D1180">
    <cfRule type="expression" dxfId="58" priority="50">
      <formula>($A1166&lt;&gt;OFFSET($A1166,1,0))*(ROW($A1166)&gt;=2)</formula>
    </cfRule>
  </conditionalFormatting>
  <conditionalFormatting sqref="D1191:D1202">
    <cfRule type="expression" dxfId="57" priority="48">
      <formula>($A1191&lt;&gt;OFFSET($A1191,1,0))*(ROW($A1191)&gt;=2)</formula>
    </cfRule>
  </conditionalFormatting>
  <conditionalFormatting sqref="D1217:D1220">
    <cfRule type="expression" dxfId="56" priority="47">
      <formula>($A1217&lt;&gt;OFFSET($A1217,1,0))*(ROW($A1217)&gt;=2)</formula>
    </cfRule>
  </conditionalFormatting>
  <conditionalFormatting sqref="I147">
    <cfRule type="expression" dxfId="55" priority="45">
      <formula>"="</formula>
    </cfRule>
  </conditionalFormatting>
  <conditionalFormatting sqref="J121 F121:G121">
    <cfRule type="expression" dxfId="54" priority="41">
      <formula>"="</formula>
    </cfRule>
  </conditionalFormatting>
  <conditionalFormatting sqref="E121">
    <cfRule type="expression" dxfId="53" priority="40">
      <formula>"="</formula>
    </cfRule>
  </conditionalFormatting>
  <conditionalFormatting sqref="H121">
    <cfRule type="expression" dxfId="52" priority="39">
      <formula>"="</formula>
    </cfRule>
  </conditionalFormatting>
  <conditionalFormatting sqref="I121">
    <cfRule type="expression" dxfId="51" priority="38">
      <formula>"="</formula>
    </cfRule>
  </conditionalFormatting>
  <conditionalFormatting sqref="D121">
    <cfRule type="expression" dxfId="50" priority="37">
      <formula>"="</formula>
    </cfRule>
  </conditionalFormatting>
  <conditionalFormatting sqref="D121">
    <cfRule type="expression" dxfId="49" priority="36">
      <formula>"="</formula>
    </cfRule>
  </conditionalFormatting>
  <conditionalFormatting sqref="C121">
    <cfRule type="expression" dxfId="48" priority="33">
      <formula>"="</formula>
    </cfRule>
  </conditionalFormatting>
  <conditionalFormatting sqref="I109">
    <cfRule type="expression" dxfId="47" priority="32">
      <formula>"="</formula>
    </cfRule>
  </conditionalFormatting>
  <conditionalFormatting sqref="I101">
    <cfRule type="expression" dxfId="46" priority="31">
      <formula>"="</formula>
    </cfRule>
  </conditionalFormatting>
  <conditionalFormatting sqref="B118:B123">
    <cfRule type="expression" dxfId="45" priority="30">
      <formula>"="</formula>
    </cfRule>
  </conditionalFormatting>
  <conditionalFormatting sqref="B118:B123">
    <cfRule type="expression" dxfId="44" priority="29">
      <formula>"="</formula>
    </cfRule>
  </conditionalFormatting>
  <conditionalFormatting sqref="E72 G72">
    <cfRule type="expression" dxfId="43" priority="28">
      <formula>"="</formula>
    </cfRule>
  </conditionalFormatting>
  <conditionalFormatting sqref="I72:J72">
    <cfRule type="expression" dxfId="42" priority="27">
      <formula>"="</formula>
    </cfRule>
  </conditionalFormatting>
  <conditionalFormatting sqref="B72">
    <cfRule type="expression" dxfId="41" priority="26">
      <formula>"="</formula>
    </cfRule>
  </conditionalFormatting>
  <conditionalFormatting sqref="B72">
    <cfRule type="expression" dxfId="40" priority="25">
      <formula>"="</formula>
    </cfRule>
  </conditionalFormatting>
  <conditionalFormatting sqref="H72">
    <cfRule type="expression" dxfId="39" priority="24">
      <formula>"="</formula>
    </cfRule>
  </conditionalFormatting>
  <conditionalFormatting sqref="D72">
    <cfRule type="expression" dxfId="38" priority="23">
      <formula>"="</formula>
    </cfRule>
  </conditionalFormatting>
  <conditionalFormatting sqref="D72">
    <cfRule type="expression" dxfId="37" priority="22">
      <formula>"="</formula>
    </cfRule>
  </conditionalFormatting>
  <conditionalFormatting sqref="F72">
    <cfRule type="expression" dxfId="36" priority="21">
      <formula>"="</formula>
    </cfRule>
  </conditionalFormatting>
  <conditionalFormatting sqref="C72">
    <cfRule type="expression" dxfId="35" priority="20">
      <formula>"="</formula>
    </cfRule>
  </conditionalFormatting>
  <conditionalFormatting sqref="I117">
    <cfRule type="expression" dxfId="34" priority="19">
      <formula>"="</formula>
    </cfRule>
  </conditionalFormatting>
  <conditionalFormatting sqref="I69">
    <cfRule type="expression" dxfId="33" priority="18">
      <formula>"="</formula>
    </cfRule>
  </conditionalFormatting>
  <conditionalFormatting sqref="I79">
    <cfRule type="expression" dxfId="32" priority="17">
      <formula>"="</formula>
    </cfRule>
  </conditionalFormatting>
  <conditionalFormatting sqref="F163:G163">
    <cfRule type="expression" dxfId="31" priority="16">
      <formula>"="</formula>
    </cfRule>
  </conditionalFormatting>
  <conditionalFormatting sqref="H163">
    <cfRule type="expression" dxfId="30" priority="15">
      <formula>"="</formula>
    </cfRule>
  </conditionalFormatting>
  <conditionalFormatting sqref="E163 B163">
    <cfRule type="expression" dxfId="29" priority="14">
      <formula>"="</formula>
    </cfRule>
  </conditionalFormatting>
  <conditionalFormatting sqref="B163">
    <cfRule type="expression" dxfId="28" priority="13">
      <formula>"="</formula>
    </cfRule>
  </conditionalFormatting>
  <conditionalFormatting sqref="C163">
    <cfRule type="expression" dxfId="27" priority="12">
      <formula>"="</formula>
    </cfRule>
  </conditionalFormatting>
  <conditionalFormatting sqref="D163">
    <cfRule type="expression" dxfId="26" priority="11">
      <formula>"="</formula>
    </cfRule>
  </conditionalFormatting>
  <conditionalFormatting sqref="D163">
    <cfRule type="expression" dxfId="25" priority="10">
      <formula>"="</formula>
    </cfRule>
  </conditionalFormatting>
  <conditionalFormatting sqref="I163">
    <cfRule type="expression" dxfId="24" priority="9">
      <formula>"="</formula>
    </cfRule>
  </conditionalFormatting>
  <conditionalFormatting sqref="B97">
    <cfRule type="expression" dxfId="23" priority="8">
      <formula>"="</formula>
    </cfRule>
  </conditionalFormatting>
  <conditionalFormatting sqref="B97">
    <cfRule type="expression" dxfId="22" priority="7">
      <formula>"="</formula>
    </cfRule>
  </conditionalFormatting>
  <conditionalFormatting sqref="D97">
    <cfRule type="expression" dxfId="21" priority="6">
      <formula>"="</formula>
    </cfRule>
  </conditionalFormatting>
  <conditionalFormatting sqref="D97">
    <cfRule type="expression" dxfId="20" priority="5">
      <formula>"="</formula>
    </cfRule>
  </conditionalFormatting>
  <conditionalFormatting sqref="C97">
    <cfRule type="expression" dxfId="19" priority="4">
      <formula>"="</formula>
    </cfRule>
  </conditionalFormatting>
  <conditionalFormatting sqref="I98">
    <cfRule type="expression" dxfId="18" priority="1">
      <formula>"="</formula>
    </cfRule>
  </conditionalFormatting>
  <conditionalFormatting sqref="F97:G97">
    <cfRule type="expression" dxfId="17" priority="3">
      <formula>"="</formula>
    </cfRule>
  </conditionalFormatting>
  <conditionalFormatting sqref="E97">
    <cfRule type="expression" dxfId="16" priority="2">
      <formula>"="</formula>
    </cfRule>
  </conditionalFormatting>
  <pageMargins left="0.7086111307144165" right="0.7086111307144165" top="0.74750000238418579" bottom="0.74750000238418579" header="0.31486111879348755" footer="0.31486111879348755"/>
  <pageSetup paperSize="9" scale="73" fitToHeight="0" orientation="landscape"/>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21"/>
  <sheetViews>
    <sheetView zoomScaleNormal="100" zoomScaleSheetLayoutView="75" workbookViewId="0">
      <pane ySplit="2" topLeftCell="A9" activePane="bottomLeft" state="frozen"/>
      <selection pane="bottomLeft" activeCell="J21" sqref="J21"/>
    </sheetView>
  </sheetViews>
  <sheetFormatPr defaultColWidth="9" defaultRowHeight="12"/>
  <cols>
    <col min="1" max="1" width="11.5" style="54" bestFit="1" customWidth="1"/>
    <col min="2" max="2" width="18.5" style="54" customWidth="1"/>
    <col min="3" max="3" width="10.375" style="54" customWidth="1"/>
    <col min="4" max="4" width="15.75" style="55" customWidth="1"/>
    <col min="5" max="5" width="10.5" style="55" customWidth="1"/>
    <col min="6" max="6" width="9.5" style="55" bestFit="1" customWidth="1"/>
    <col min="7" max="7" width="12.875" style="55" customWidth="1"/>
    <col min="8" max="8" width="52.125" style="55" customWidth="1"/>
    <col min="9" max="9" width="16.125" style="54" bestFit="1" customWidth="1"/>
    <col min="10" max="10" width="12.375" style="54" customWidth="1"/>
    <col min="11" max="11" width="17.875" style="55" bestFit="1" customWidth="1"/>
    <col min="12" max="12" width="39.375" style="56" customWidth="1"/>
    <col min="13" max="252" width="9" style="55"/>
    <col min="253" max="253" width="11.5" style="55" bestFit="1" customWidth="1"/>
    <col min="254" max="254" width="10.125" style="55" bestFit="1" customWidth="1"/>
    <col min="255" max="255" width="10.375" style="55" customWidth="1"/>
    <col min="256" max="256" width="15.75" style="55" customWidth="1"/>
    <col min="257" max="257" width="10.5" style="55" customWidth="1"/>
    <col min="258" max="258" width="11" style="55" customWidth="1"/>
    <col min="259" max="259" width="12.875" style="55" customWidth="1"/>
    <col min="260" max="260" width="44.25" style="55" customWidth="1"/>
    <col min="261" max="261" width="18" style="55" customWidth="1"/>
    <col min="262" max="262" width="12.375" style="55" customWidth="1"/>
    <col min="263" max="263" width="14.375" style="55" bestFit="1" customWidth="1"/>
    <col min="264" max="264" width="9" style="55" customWidth="1"/>
    <col min="265" max="265" width="38.5" style="55" bestFit="1" customWidth="1"/>
    <col min="266" max="266" width="39.375" style="55" customWidth="1"/>
    <col min="267" max="267" width="19.875" style="55" bestFit="1" customWidth="1"/>
    <col min="268" max="508" width="9" style="55"/>
    <col min="509" max="509" width="11.5" style="55" bestFit="1" customWidth="1"/>
    <col min="510" max="510" width="10.125" style="55" bestFit="1" customWidth="1"/>
    <col min="511" max="511" width="10.375" style="55" customWidth="1"/>
    <col min="512" max="512" width="15.75" style="55" customWidth="1"/>
    <col min="513" max="513" width="10.5" style="55" customWidth="1"/>
    <col min="514" max="514" width="11" style="55" customWidth="1"/>
    <col min="515" max="515" width="12.875" style="55" customWidth="1"/>
    <col min="516" max="516" width="44.25" style="55" customWidth="1"/>
    <col min="517" max="517" width="18" style="55" customWidth="1"/>
    <col min="518" max="518" width="12.375" style="55" customWidth="1"/>
    <col min="519" max="519" width="14.375" style="55" bestFit="1" customWidth="1"/>
    <col min="520" max="520" width="9" style="55" customWidth="1"/>
    <col min="521" max="521" width="38.5" style="55" bestFit="1" customWidth="1"/>
    <col min="522" max="522" width="39.375" style="55" customWidth="1"/>
    <col min="523" max="523" width="19.875" style="55" bestFit="1" customWidth="1"/>
    <col min="524" max="764" width="9" style="55"/>
    <col min="765" max="765" width="11.5" style="55" bestFit="1" customWidth="1"/>
    <col min="766" max="766" width="10.125" style="55" bestFit="1" customWidth="1"/>
    <col min="767" max="767" width="10.375" style="55" customWidth="1"/>
    <col min="768" max="768" width="15.75" style="55" customWidth="1"/>
    <col min="769" max="769" width="10.5" style="55" customWidth="1"/>
    <col min="770" max="770" width="11" style="55" customWidth="1"/>
    <col min="771" max="771" width="12.875" style="55" customWidth="1"/>
    <col min="772" max="772" width="44.25" style="55" customWidth="1"/>
    <col min="773" max="773" width="18" style="55" customWidth="1"/>
    <col min="774" max="774" width="12.375" style="55" customWidth="1"/>
    <col min="775" max="775" width="14.375" style="55" bestFit="1" customWidth="1"/>
    <col min="776" max="776" width="9" style="55" customWidth="1"/>
    <col min="777" max="777" width="38.5" style="55" bestFit="1" customWidth="1"/>
    <col min="778" max="778" width="39.375" style="55" customWidth="1"/>
    <col min="779" max="779" width="19.875" style="55" bestFit="1" customWidth="1"/>
    <col min="780" max="1020" width="9" style="55"/>
    <col min="1021" max="1021" width="11.5" style="55" bestFit="1" customWidth="1"/>
    <col min="1022" max="1022" width="10.125" style="55" bestFit="1" customWidth="1"/>
    <col min="1023" max="1023" width="10.375" style="55" customWidth="1"/>
    <col min="1024" max="1024" width="15.75" style="55" customWidth="1"/>
    <col min="1025" max="1025" width="10.5" style="55" customWidth="1"/>
    <col min="1026" max="1026" width="11" style="55" customWidth="1"/>
    <col min="1027" max="1027" width="12.875" style="55" customWidth="1"/>
    <col min="1028" max="1028" width="44.25" style="55" customWidth="1"/>
    <col min="1029" max="1029" width="18" style="55" customWidth="1"/>
    <col min="1030" max="1030" width="12.375" style="55" customWidth="1"/>
    <col min="1031" max="1031" width="14.375" style="55" bestFit="1" customWidth="1"/>
    <col min="1032" max="1032" width="9" style="55" customWidth="1"/>
    <col min="1033" max="1033" width="38.5" style="55" bestFit="1" customWidth="1"/>
    <col min="1034" max="1034" width="39.375" style="55" customWidth="1"/>
    <col min="1035" max="1035" width="19.875" style="55" bestFit="1" customWidth="1"/>
    <col min="1036" max="1276" width="9" style="55"/>
    <col min="1277" max="1277" width="11.5" style="55" bestFit="1" customWidth="1"/>
    <col min="1278" max="1278" width="10.125" style="55" bestFit="1" customWidth="1"/>
    <col min="1279" max="1279" width="10.375" style="55" customWidth="1"/>
    <col min="1280" max="1280" width="15.75" style="55" customWidth="1"/>
    <col min="1281" max="1281" width="10.5" style="55" customWidth="1"/>
    <col min="1282" max="1282" width="11" style="55" customWidth="1"/>
    <col min="1283" max="1283" width="12.875" style="55" customWidth="1"/>
    <col min="1284" max="1284" width="44.25" style="55" customWidth="1"/>
    <col min="1285" max="1285" width="18" style="55" customWidth="1"/>
    <col min="1286" max="1286" width="12.375" style="55" customWidth="1"/>
    <col min="1287" max="1287" width="14.375" style="55" bestFit="1" customWidth="1"/>
    <col min="1288" max="1288" width="9" style="55" customWidth="1"/>
    <col min="1289" max="1289" width="38.5" style="55" bestFit="1" customWidth="1"/>
    <col min="1290" max="1290" width="39.375" style="55" customWidth="1"/>
    <col min="1291" max="1291" width="19.875" style="55" bestFit="1" customWidth="1"/>
    <col min="1292" max="1532" width="9" style="55"/>
    <col min="1533" max="1533" width="11.5" style="55" bestFit="1" customWidth="1"/>
    <col min="1534" max="1534" width="10.125" style="55" bestFit="1" customWidth="1"/>
    <col min="1535" max="1535" width="10.375" style="55" customWidth="1"/>
    <col min="1536" max="1536" width="15.75" style="55" customWidth="1"/>
    <col min="1537" max="1537" width="10.5" style="55" customWidth="1"/>
    <col min="1538" max="1538" width="11" style="55" customWidth="1"/>
    <col min="1539" max="1539" width="12.875" style="55" customWidth="1"/>
    <col min="1540" max="1540" width="44.25" style="55" customWidth="1"/>
    <col min="1541" max="1541" width="18" style="55" customWidth="1"/>
    <col min="1542" max="1542" width="12.375" style="55" customWidth="1"/>
    <col min="1543" max="1543" width="14.375" style="55" bestFit="1" customWidth="1"/>
    <col min="1544" max="1544" width="9" style="55" customWidth="1"/>
    <col min="1545" max="1545" width="38.5" style="55" bestFit="1" customWidth="1"/>
    <col min="1546" max="1546" width="39.375" style="55" customWidth="1"/>
    <col min="1547" max="1547" width="19.875" style="55" bestFit="1" customWidth="1"/>
    <col min="1548" max="1788" width="9" style="55"/>
    <col min="1789" max="1789" width="11.5" style="55" bestFit="1" customWidth="1"/>
    <col min="1790" max="1790" width="10.125" style="55" bestFit="1" customWidth="1"/>
    <col min="1791" max="1791" width="10.375" style="55" customWidth="1"/>
    <col min="1792" max="1792" width="15.75" style="55" customWidth="1"/>
    <col min="1793" max="1793" width="10.5" style="55" customWidth="1"/>
    <col min="1794" max="1794" width="11" style="55" customWidth="1"/>
    <col min="1795" max="1795" width="12.875" style="55" customWidth="1"/>
    <col min="1796" max="1796" width="44.25" style="55" customWidth="1"/>
    <col min="1797" max="1797" width="18" style="55" customWidth="1"/>
    <col min="1798" max="1798" width="12.375" style="55" customWidth="1"/>
    <col min="1799" max="1799" width="14.375" style="55" bestFit="1" customWidth="1"/>
    <col min="1800" max="1800" width="9" style="55" customWidth="1"/>
    <col min="1801" max="1801" width="38.5" style="55" bestFit="1" customWidth="1"/>
    <col min="1802" max="1802" width="39.375" style="55" customWidth="1"/>
    <col min="1803" max="1803" width="19.875" style="55" bestFit="1" customWidth="1"/>
    <col min="1804" max="2044" width="9" style="55"/>
    <col min="2045" max="2045" width="11.5" style="55" bestFit="1" customWidth="1"/>
    <col min="2046" max="2046" width="10.125" style="55" bestFit="1" customWidth="1"/>
    <col min="2047" max="2047" width="10.375" style="55" customWidth="1"/>
    <col min="2048" max="2048" width="15.75" style="55" customWidth="1"/>
    <col min="2049" max="2049" width="10.5" style="55" customWidth="1"/>
    <col min="2050" max="2050" width="11" style="55" customWidth="1"/>
    <col min="2051" max="2051" width="12.875" style="55" customWidth="1"/>
    <col min="2052" max="2052" width="44.25" style="55" customWidth="1"/>
    <col min="2053" max="2053" width="18" style="55" customWidth="1"/>
    <col min="2054" max="2054" width="12.375" style="55" customWidth="1"/>
    <col min="2055" max="2055" width="14.375" style="55" bestFit="1" customWidth="1"/>
    <col min="2056" max="2056" width="9" style="55" customWidth="1"/>
    <col min="2057" max="2057" width="38.5" style="55" bestFit="1" customWidth="1"/>
    <col min="2058" max="2058" width="39.375" style="55" customWidth="1"/>
    <col min="2059" max="2059" width="19.875" style="55" bestFit="1" customWidth="1"/>
    <col min="2060" max="2300" width="9" style="55"/>
    <col min="2301" max="2301" width="11.5" style="55" bestFit="1" customWidth="1"/>
    <col min="2302" max="2302" width="10.125" style="55" bestFit="1" customWidth="1"/>
    <col min="2303" max="2303" width="10.375" style="55" customWidth="1"/>
    <col min="2304" max="2304" width="15.75" style="55" customWidth="1"/>
    <col min="2305" max="2305" width="10.5" style="55" customWidth="1"/>
    <col min="2306" max="2306" width="11" style="55" customWidth="1"/>
    <col min="2307" max="2307" width="12.875" style="55" customWidth="1"/>
    <col min="2308" max="2308" width="44.25" style="55" customWidth="1"/>
    <col min="2309" max="2309" width="18" style="55" customWidth="1"/>
    <col min="2310" max="2310" width="12.375" style="55" customWidth="1"/>
    <col min="2311" max="2311" width="14.375" style="55" bestFit="1" customWidth="1"/>
    <col min="2312" max="2312" width="9" style="55" customWidth="1"/>
    <col min="2313" max="2313" width="38.5" style="55" bestFit="1" customWidth="1"/>
    <col min="2314" max="2314" width="39.375" style="55" customWidth="1"/>
    <col min="2315" max="2315" width="19.875" style="55" bestFit="1" customWidth="1"/>
    <col min="2316" max="2556" width="9" style="55"/>
    <col min="2557" max="2557" width="11.5" style="55" bestFit="1" customWidth="1"/>
    <col min="2558" max="2558" width="10.125" style="55" bestFit="1" customWidth="1"/>
    <col min="2559" max="2559" width="10.375" style="55" customWidth="1"/>
    <col min="2560" max="2560" width="15.75" style="55" customWidth="1"/>
    <col min="2561" max="2561" width="10.5" style="55" customWidth="1"/>
    <col min="2562" max="2562" width="11" style="55" customWidth="1"/>
    <col min="2563" max="2563" width="12.875" style="55" customWidth="1"/>
    <col min="2564" max="2564" width="44.25" style="55" customWidth="1"/>
    <col min="2565" max="2565" width="18" style="55" customWidth="1"/>
    <col min="2566" max="2566" width="12.375" style="55" customWidth="1"/>
    <col min="2567" max="2567" width="14.375" style="55" bestFit="1" customWidth="1"/>
    <col min="2568" max="2568" width="9" style="55" customWidth="1"/>
    <col min="2569" max="2569" width="38.5" style="55" bestFit="1" customWidth="1"/>
    <col min="2570" max="2570" width="39.375" style="55" customWidth="1"/>
    <col min="2571" max="2571" width="19.875" style="55" bestFit="1" customWidth="1"/>
    <col min="2572" max="2812" width="9" style="55"/>
    <col min="2813" max="2813" width="11.5" style="55" bestFit="1" customWidth="1"/>
    <col min="2814" max="2814" width="10.125" style="55" bestFit="1" customWidth="1"/>
    <col min="2815" max="2815" width="10.375" style="55" customWidth="1"/>
    <col min="2816" max="2816" width="15.75" style="55" customWidth="1"/>
    <col min="2817" max="2817" width="10.5" style="55" customWidth="1"/>
    <col min="2818" max="2818" width="11" style="55" customWidth="1"/>
    <col min="2819" max="2819" width="12.875" style="55" customWidth="1"/>
    <col min="2820" max="2820" width="44.25" style="55" customWidth="1"/>
    <col min="2821" max="2821" width="18" style="55" customWidth="1"/>
    <col min="2822" max="2822" width="12.375" style="55" customWidth="1"/>
    <col min="2823" max="2823" width="14.375" style="55" bestFit="1" customWidth="1"/>
    <col min="2824" max="2824" width="9" style="55" customWidth="1"/>
    <col min="2825" max="2825" width="38.5" style="55" bestFit="1" customWidth="1"/>
    <col min="2826" max="2826" width="39.375" style="55" customWidth="1"/>
    <col min="2827" max="2827" width="19.875" style="55" bestFit="1" customWidth="1"/>
    <col min="2828" max="3068" width="9" style="55"/>
    <col min="3069" max="3069" width="11.5" style="55" bestFit="1" customWidth="1"/>
    <col min="3070" max="3070" width="10.125" style="55" bestFit="1" customWidth="1"/>
    <col min="3071" max="3071" width="10.375" style="55" customWidth="1"/>
    <col min="3072" max="3072" width="15.75" style="55" customWidth="1"/>
    <col min="3073" max="3073" width="10.5" style="55" customWidth="1"/>
    <col min="3074" max="3074" width="11" style="55" customWidth="1"/>
    <col min="3075" max="3075" width="12.875" style="55" customWidth="1"/>
    <col min="3076" max="3076" width="44.25" style="55" customWidth="1"/>
    <col min="3077" max="3077" width="18" style="55" customWidth="1"/>
    <col min="3078" max="3078" width="12.375" style="55" customWidth="1"/>
    <col min="3079" max="3079" width="14.375" style="55" bestFit="1" customWidth="1"/>
    <col min="3080" max="3080" width="9" style="55" customWidth="1"/>
    <col min="3081" max="3081" width="38.5" style="55" bestFit="1" customWidth="1"/>
    <col min="3082" max="3082" width="39.375" style="55" customWidth="1"/>
    <col min="3083" max="3083" width="19.875" style="55" bestFit="1" customWidth="1"/>
    <col min="3084" max="3324" width="9" style="55"/>
    <col min="3325" max="3325" width="11.5" style="55" bestFit="1" customWidth="1"/>
    <col min="3326" max="3326" width="10.125" style="55" bestFit="1" customWidth="1"/>
    <col min="3327" max="3327" width="10.375" style="55" customWidth="1"/>
    <col min="3328" max="3328" width="15.75" style="55" customWidth="1"/>
    <col min="3329" max="3329" width="10.5" style="55" customWidth="1"/>
    <col min="3330" max="3330" width="11" style="55" customWidth="1"/>
    <col min="3331" max="3331" width="12.875" style="55" customWidth="1"/>
    <col min="3332" max="3332" width="44.25" style="55" customWidth="1"/>
    <col min="3333" max="3333" width="18" style="55" customWidth="1"/>
    <col min="3334" max="3334" width="12.375" style="55" customWidth="1"/>
    <col min="3335" max="3335" width="14.375" style="55" bestFit="1" customWidth="1"/>
    <col min="3336" max="3336" width="9" style="55" customWidth="1"/>
    <col min="3337" max="3337" width="38.5" style="55" bestFit="1" customWidth="1"/>
    <col min="3338" max="3338" width="39.375" style="55" customWidth="1"/>
    <col min="3339" max="3339" width="19.875" style="55" bestFit="1" customWidth="1"/>
    <col min="3340" max="3580" width="9" style="55"/>
    <col min="3581" max="3581" width="11.5" style="55" bestFit="1" customWidth="1"/>
    <col min="3582" max="3582" width="10.125" style="55" bestFit="1" customWidth="1"/>
    <col min="3583" max="3583" width="10.375" style="55" customWidth="1"/>
    <col min="3584" max="3584" width="15.75" style="55" customWidth="1"/>
    <col min="3585" max="3585" width="10.5" style="55" customWidth="1"/>
    <col min="3586" max="3586" width="11" style="55" customWidth="1"/>
    <col min="3587" max="3587" width="12.875" style="55" customWidth="1"/>
    <col min="3588" max="3588" width="44.25" style="55" customWidth="1"/>
    <col min="3589" max="3589" width="18" style="55" customWidth="1"/>
    <col min="3590" max="3590" width="12.375" style="55" customWidth="1"/>
    <col min="3591" max="3591" width="14.375" style="55" bestFit="1" customWidth="1"/>
    <col min="3592" max="3592" width="9" style="55" customWidth="1"/>
    <col min="3593" max="3593" width="38.5" style="55" bestFit="1" customWidth="1"/>
    <col min="3594" max="3594" width="39.375" style="55" customWidth="1"/>
    <col min="3595" max="3595" width="19.875" style="55" bestFit="1" customWidth="1"/>
    <col min="3596" max="3836" width="9" style="55"/>
    <col min="3837" max="3837" width="11.5" style="55" bestFit="1" customWidth="1"/>
    <col min="3838" max="3838" width="10.125" style="55" bestFit="1" customWidth="1"/>
    <col min="3839" max="3839" width="10.375" style="55" customWidth="1"/>
    <col min="3840" max="3840" width="15.75" style="55" customWidth="1"/>
    <col min="3841" max="3841" width="10.5" style="55" customWidth="1"/>
    <col min="3842" max="3842" width="11" style="55" customWidth="1"/>
    <col min="3843" max="3843" width="12.875" style="55" customWidth="1"/>
    <col min="3844" max="3844" width="44.25" style="55" customWidth="1"/>
    <col min="3845" max="3845" width="18" style="55" customWidth="1"/>
    <col min="3846" max="3846" width="12.375" style="55" customWidth="1"/>
    <col min="3847" max="3847" width="14.375" style="55" bestFit="1" customWidth="1"/>
    <col min="3848" max="3848" width="9" style="55" customWidth="1"/>
    <col min="3849" max="3849" width="38.5" style="55" bestFit="1" customWidth="1"/>
    <col min="3850" max="3850" width="39.375" style="55" customWidth="1"/>
    <col min="3851" max="3851" width="19.875" style="55" bestFit="1" customWidth="1"/>
    <col min="3852" max="4092" width="9" style="55"/>
    <col min="4093" max="4093" width="11.5" style="55" bestFit="1" customWidth="1"/>
    <col min="4094" max="4094" width="10.125" style="55" bestFit="1" customWidth="1"/>
    <col min="4095" max="4095" width="10.375" style="55" customWidth="1"/>
    <col min="4096" max="4096" width="15.75" style="55" customWidth="1"/>
    <col min="4097" max="4097" width="10.5" style="55" customWidth="1"/>
    <col min="4098" max="4098" width="11" style="55" customWidth="1"/>
    <col min="4099" max="4099" width="12.875" style="55" customWidth="1"/>
    <col min="4100" max="4100" width="44.25" style="55" customWidth="1"/>
    <col min="4101" max="4101" width="18" style="55" customWidth="1"/>
    <col min="4102" max="4102" width="12.375" style="55" customWidth="1"/>
    <col min="4103" max="4103" width="14.375" style="55" bestFit="1" customWidth="1"/>
    <col min="4104" max="4104" width="9" style="55" customWidth="1"/>
    <col min="4105" max="4105" width="38.5" style="55" bestFit="1" customWidth="1"/>
    <col min="4106" max="4106" width="39.375" style="55" customWidth="1"/>
    <col min="4107" max="4107" width="19.875" style="55" bestFit="1" customWidth="1"/>
    <col min="4108" max="4348" width="9" style="55"/>
    <col min="4349" max="4349" width="11.5" style="55" bestFit="1" customWidth="1"/>
    <col min="4350" max="4350" width="10.125" style="55" bestFit="1" customWidth="1"/>
    <col min="4351" max="4351" width="10.375" style="55" customWidth="1"/>
    <col min="4352" max="4352" width="15.75" style="55" customWidth="1"/>
    <col min="4353" max="4353" width="10.5" style="55" customWidth="1"/>
    <col min="4354" max="4354" width="11" style="55" customWidth="1"/>
    <col min="4355" max="4355" width="12.875" style="55" customWidth="1"/>
    <col min="4356" max="4356" width="44.25" style="55" customWidth="1"/>
    <col min="4357" max="4357" width="18" style="55" customWidth="1"/>
    <col min="4358" max="4358" width="12.375" style="55" customWidth="1"/>
    <col min="4359" max="4359" width="14.375" style="55" bestFit="1" customWidth="1"/>
    <col min="4360" max="4360" width="9" style="55" customWidth="1"/>
    <col min="4361" max="4361" width="38.5" style="55" bestFit="1" customWidth="1"/>
    <col min="4362" max="4362" width="39.375" style="55" customWidth="1"/>
    <col min="4363" max="4363" width="19.875" style="55" bestFit="1" customWidth="1"/>
    <col min="4364" max="4604" width="9" style="55"/>
    <col min="4605" max="4605" width="11.5" style="55" bestFit="1" customWidth="1"/>
    <col min="4606" max="4606" width="10.125" style="55" bestFit="1" customWidth="1"/>
    <col min="4607" max="4607" width="10.375" style="55" customWidth="1"/>
    <col min="4608" max="4608" width="15.75" style="55" customWidth="1"/>
    <col min="4609" max="4609" width="10.5" style="55" customWidth="1"/>
    <col min="4610" max="4610" width="11" style="55" customWidth="1"/>
    <col min="4611" max="4611" width="12.875" style="55" customWidth="1"/>
    <col min="4612" max="4612" width="44.25" style="55" customWidth="1"/>
    <col min="4613" max="4613" width="18" style="55" customWidth="1"/>
    <col min="4614" max="4614" width="12.375" style="55" customWidth="1"/>
    <col min="4615" max="4615" width="14.375" style="55" bestFit="1" customWidth="1"/>
    <col min="4616" max="4616" width="9" style="55" customWidth="1"/>
    <col min="4617" max="4617" width="38.5" style="55" bestFit="1" customWidth="1"/>
    <col min="4618" max="4618" width="39.375" style="55" customWidth="1"/>
    <col min="4619" max="4619" width="19.875" style="55" bestFit="1" customWidth="1"/>
    <col min="4620" max="4860" width="9" style="55"/>
    <col min="4861" max="4861" width="11.5" style="55" bestFit="1" customWidth="1"/>
    <col min="4862" max="4862" width="10.125" style="55" bestFit="1" customWidth="1"/>
    <col min="4863" max="4863" width="10.375" style="55" customWidth="1"/>
    <col min="4864" max="4864" width="15.75" style="55" customWidth="1"/>
    <col min="4865" max="4865" width="10.5" style="55" customWidth="1"/>
    <col min="4866" max="4866" width="11" style="55" customWidth="1"/>
    <col min="4867" max="4867" width="12.875" style="55" customWidth="1"/>
    <col min="4868" max="4868" width="44.25" style="55" customWidth="1"/>
    <col min="4869" max="4869" width="18" style="55" customWidth="1"/>
    <col min="4870" max="4870" width="12.375" style="55" customWidth="1"/>
    <col min="4871" max="4871" width="14.375" style="55" bestFit="1" customWidth="1"/>
    <col min="4872" max="4872" width="9" style="55" customWidth="1"/>
    <col min="4873" max="4873" width="38.5" style="55" bestFit="1" customWidth="1"/>
    <col min="4874" max="4874" width="39.375" style="55" customWidth="1"/>
    <col min="4875" max="4875" width="19.875" style="55" bestFit="1" customWidth="1"/>
    <col min="4876" max="5116" width="9" style="55"/>
    <col min="5117" max="5117" width="11.5" style="55" bestFit="1" customWidth="1"/>
    <col min="5118" max="5118" width="10.125" style="55" bestFit="1" customWidth="1"/>
    <col min="5119" max="5119" width="10.375" style="55" customWidth="1"/>
    <col min="5120" max="5120" width="15.75" style="55" customWidth="1"/>
    <col min="5121" max="5121" width="10.5" style="55" customWidth="1"/>
    <col min="5122" max="5122" width="11" style="55" customWidth="1"/>
    <col min="5123" max="5123" width="12.875" style="55" customWidth="1"/>
    <col min="5124" max="5124" width="44.25" style="55" customWidth="1"/>
    <col min="5125" max="5125" width="18" style="55" customWidth="1"/>
    <col min="5126" max="5126" width="12.375" style="55" customWidth="1"/>
    <col min="5127" max="5127" width="14.375" style="55" bestFit="1" customWidth="1"/>
    <col min="5128" max="5128" width="9" style="55" customWidth="1"/>
    <col min="5129" max="5129" width="38.5" style="55" bestFit="1" customWidth="1"/>
    <col min="5130" max="5130" width="39.375" style="55" customWidth="1"/>
    <col min="5131" max="5131" width="19.875" style="55" bestFit="1" customWidth="1"/>
    <col min="5132" max="5372" width="9" style="55"/>
    <col min="5373" max="5373" width="11.5" style="55" bestFit="1" customWidth="1"/>
    <col min="5374" max="5374" width="10.125" style="55" bestFit="1" customWidth="1"/>
    <col min="5375" max="5375" width="10.375" style="55" customWidth="1"/>
    <col min="5376" max="5376" width="15.75" style="55" customWidth="1"/>
    <col min="5377" max="5377" width="10.5" style="55" customWidth="1"/>
    <col min="5378" max="5378" width="11" style="55" customWidth="1"/>
    <col min="5379" max="5379" width="12.875" style="55" customWidth="1"/>
    <col min="5380" max="5380" width="44.25" style="55" customWidth="1"/>
    <col min="5381" max="5381" width="18" style="55" customWidth="1"/>
    <col min="5382" max="5382" width="12.375" style="55" customWidth="1"/>
    <col min="5383" max="5383" width="14.375" style="55" bestFit="1" customWidth="1"/>
    <col min="5384" max="5384" width="9" style="55" customWidth="1"/>
    <col min="5385" max="5385" width="38.5" style="55" bestFit="1" customWidth="1"/>
    <col min="5386" max="5386" width="39.375" style="55" customWidth="1"/>
    <col min="5387" max="5387" width="19.875" style="55" bestFit="1" customWidth="1"/>
    <col min="5388" max="5628" width="9" style="55"/>
    <col min="5629" max="5629" width="11.5" style="55" bestFit="1" customWidth="1"/>
    <col min="5630" max="5630" width="10.125" style="55" bestFit="1" customWidth="1"/>
    <col min="5631" max="5631" width="10.375" style="55" customWidth="1"/>
    <col min="5632" max="5632" width="15.75" style="55" customWidth="1"/>
    <col min="5633" max="5633" width="10.5" style="55" customWidth="1"/>
    <col min="5634" max="5634" width="11" style="55" customWidth="1"/>
    <col min="5635" max="5635" width="12.875" style="55" customWidth="1"/>
    <col min="5636" max="5636" width="44.25" style="55" customWidth="1"/>
    <col min="5637" max="5637" width="18" style="55" customWidth="1"/>
    <col min="5638" max="5638" width="12.375" style="55" customWidth="1"/>
    <col min="5639" max="5639" width="14.375" style="55" bestFit="1" customWidth="1"/>
    <col min="5640" max="5640" width="9" style="55" customWidth="1"/>
    <col min="5641" max="5641" width="38.5" style="55" bestFit="1" customWidth="1"/>
    <col min="5642" max="5642" width="39.375" style="55" customWidth="1"/>
    <col min="5643" max="5643" width="19.875" style="55" bestFit="1" customWidth="1"/>
    <col min="5644" max="5884" width="9" style="55"/>
    <col min="5885" max="5885" width="11.5" style="55" bestFit="1" customWidth="1"/>
    <col min="5886" max="5886" width="10.125" style="55" bestFit="1" customWidth="1"/>
    <col min="5887" max="5887" width="10.375" style="55" customWidth="1"/>
    <col min="5888" max="5888" width="15.75" style="55" customWidth="1"/>
    <col min="5889" max="5889" width="10.5" style="55" customWidth="1"/>
    <col min="5890" max="5890" width="11" style="55" customWidth="1"/>
    <col min="5891" max="5891" width="12.875" style="55" customWidth="1"/>
    <col min="5892" max="5892" width="44.25" style="55" customWidth="1"/>
    <col min="5893" max="5893" width="18" style="55" customWidth="1"/>
    <col min="5894" max="5894" width="12.375" style="55" customWidth="1"/>
    <col min="5895" max="5895" width="14.375" style="55" bestFit="1" customWidth="1"/>
    <col min="5896" max="5896" width="9" style="55" customWidth="1"/>
    <col min="5897" max="5897" width="38.5" style="55" bestFit="1" customWidth="1"/>
    <col min="5898" max="5898" width="39.375" style="55" customWidth="1"/>
    <col min="5899" max="5899" width="19.875" style="55" bestFit="1" customWidth="1"/>
    <col min="5900" max="6140" width="9" style="55"/>
    <col min="6141" max="6141" width="11.5" style="55" bestFit="1" customWidth="1"/>
    <col min="6142" max="6142" width="10.125" style="55" bestFit="1" customWidth="1"/>
    <col min="6143" max="6143" width="10.375" style="55" customWidth="1"/>
    <col min="6144" max="6144" width="15.75" style="55" customWidth="1"/>
    <col min="6145" max="6145" width="10.5" style="55" customWidth="1"/>
    <col min="6146" max="6146" width="11" style="55" customWidth="1"/>
    <col min="6147" max="6147" width="12.875" style="55" customWidth="1"/>
    <col min="6148" max="6148" width="44.25" style="55" customWidth="1"/>
    <col min="6149" max="6149" width="18" style="55" customWidth="1"/>
    <col min="6150" max="6150" width="12.375" style="55" customWidth="1"/>
    <col min="6151" max="6151" width="14.375" style="55" bestFit="1" customWidth="1"/>
    <col min="6152" max="6152" width="9" style="55" customWidth="1"/>
    <col min="6153" max="6153" width="38.5" style="55" bestFit="1" customWidth="1"/>
    <col min="6154" max="6154" width="39.375" style="55" customWidth="1"/>
    <col min="6155" max="6155" width="19.875" style="55" bestFit="1" customWidth="1"/>
    <col min="6156" max="6396" width="9" style="55"/>
    <col min="6397" max="6397" width="11.5" style="55" bestFit="1" customWidth="1"/>
    <col min="6398" max="6398" width="10.125" style="55" bestFit="1" customWidth="1"/>
    <col min="6399" max="6399" width="10.375" style="55" customWidth="1"/>
    <col min="6400" max="6400" width="15.75" style="55" customWidth="1"/>
    <col min="6401" max="6401" width="10.5" style="55" customWidth="1"/>
    <col min="6402" max="6402" width="11" style="55" customWidth="1"/>
    <col min="6403" max="6403" width="12.875" style="55" customWidth="1"/>
    <col min="6404" max="6404" width="44.25" style="55" customWidth="1"/>
    <col min="6405" max="6405" width="18" style="55" customWidth="1"/>
    <col min="6406" max="6406" width="12.375" style="55" customWidth="1"/>
    <col min="6407" max="6407" width="14.375" style="55" bestFit="1" customWidth="1"/>
    <col min="6408" max="6408" width="9" style="55" customWidth="1"/>
    <col min="6409" max="6409" width="38.5" style="55" bestFit="1" customWidth="1"/>
    <col min="6410" max="6410" width="39.375" style="55" customWidth="1"/>
    <col min="6411" max="6411" width="19.875" style="55" bestFit="1" customWidth="1"/>
    <col min="6412" max="6652" width="9" style="55"/>
    <col min="6653" max="6653" width="11.5" style="55" bestFit="1" customWidth="1"/>
    <col min="6654" max="6654" width="10.125" style="55" bestFit="1" customWidth="1"/>
    <col min="6655" max="6655" width="10.375" style="55" customWidth="1"/>
    <col min="6656" max="6656" width="15.75" style="55" customWidth="1"/>
    <col min="6657" max="6657" width="10.5" style="55" customWidth="1"/>
    <col min="6658" max="6658" width="11" style="55" customWidth="1"/>
    <col min="6659" max="6659" width="12.875" style="55" customWidth="1"/>
    <col min="6660" max="6660" width="44.25" style="55" customWidth="1"/>
    <col min="6661" max="6661" width="18" style="55" customWidth="1"/>
    <col min="6662" max="6662" width="12.375" style="55" customWidth="1"/>
    <col min="6663" max="6663" width="14.375" style="55" bestFit="1" customWidth="1"/>
    <col min="6664" max="6664" width="9" style="55" customWidth="1"/>
    <col min="6665" max="6665" width="38.5" style="55" bestFit="1" customWidth="1"/>
    <col min="6666" max="6666" width="39.375" style="55" customWidth="1"/>
    <col min="6667" max="6667" width="19.875" style="55" bestFit="1" customWidth="1"/>
    <col min="6668" max="6908" width="9" style="55"/>
    <col min="6909" max="6909" width="11.5" style="55" bestFit="1" customWidth="1"/>
    <col min="6910" max="6910" width="10.125" style="55" bestFit="1" customWidth="1"/>
    <col min="6911" max="6911" width="10.375" style="55" customWidth="1"/>
    <col min="6912" max="6912" width="15.75" style="55" customWidth="1"/>
    <col min="6913" max="6913" width="10.5" style="55" customWidth="1"/>
    <col min="6914" max="6914" width="11" style="55" customWidth="1"/>
    <col min="6915" max="6915" width="12.875" style="55" customWidth="1"/>
    <col min="6916" max="6916" width="44.25" style="55" customWidth="1"/>
    <col min="6917" max="6917" width="18" style="55" customWidth="1"/>
    <col min="6918" max="6918" width="12.375" style="55" customWidth="1"/>
    <col min="6919" max="6919" width="14.375" style="55" bestFit="1" customWidth="1"/>
    <col min="6920" max="6920" width="9" style="55" customWidth="1"/>
    <col min="6921" max="6921" width="38.5" style="55" bestFit="1" customWidth="1"/>
    <col min="6922" max="6922" width="39.375" style="55" customWidth="1"/>
    <col min="6923" max="6923" width="19.875" style="55" bestFit="1" customWidth="1"/>
    <col min="6924" max="7164" width="9" style="55"/>
    <col min="7165" max="7165" width="11.5" style="55" bestFit="1" customWidth="1"/>
    <col min="7166" max="7166" width="10.125" style="55" bestFit="1" customWidth="1"/>
    <col min="7167" max="7167" width="10.375" style="55" customWidth="1"/>
    <col min="7168" max="7168" width="15.75" style="55" customWidth="1"/>
    <col min="7169" max="7169" width="10.5" style="55" customWidth="1"/>
    <col min="7170" max="7170" width="11" style="55" customWidth="1"/>
    <col min="7171" max="7171" width="12.875" style="55" customWidth="1"/>
    <col min="7172" max="7172" width="44.25" style="55" customWidth="1"/>
    <col min="7173" max="7173" width="18" style="55" customWidth="1"/>
    <col min="7174" max="7174" width="12.375" style="55" customWidth="1"/>
    <col min="7175" max="7175" width="14.375" style="55" bestFit="1" customWidth="1"/>
    <col min="7176" max="7176" width="9" style="55" customWidth="1"/>
    <col min="7177" max="7177" width="38.5" style="55" bestFit="1" customWidth="1"/>
    <col min="7178" max="7178" width="39.375" style="55" customWidth="1"/>
    <col min="7179" max="7179" width="19.875" style="55" bestFit="1" customWidth="1"/>
    <col min="7180" max="7420" width="9" style="55"/>
    <col min="7421" max="7421" width="11.5" style="55" bestFit="1" customWidth="1"/>
    <col min="7422" max="7422" width="10.125" style="55" bestFit="1" customWidth="1"/>
    <col min="7423" max="7423" width="10.375" style="55" customWidth="1"/>
    <col min="7424" max="7424" width="15.75" style="55" customWidth="1"/>
    <col min="7425" max="7425" width="10.5" style="55" customWidth="1"/>
    <col min="7426" max="7426" width="11" style="55" customWidth="1"/>
    <col min="7427" max="7427" width="12.875" style="55" customWidth="1"/>
    <col min="7428" max="7428" width="44.25" style="55" customWidth="1"/>
    <col min="7429" max="7429" width="18" style="55" customWidth="1"/>
    <col min="7430" max="7430" width="12.375" style="55" customWidth="1"/>
    <col min="7431" max="7431" width="14.375" style="55" bestFit="1" customWidth="1"/>
    <col min="7432" max="7432" width="9" style="55" customWidth="1"/>
    <col min="7433" max="7433" width="38.5" style="55" bestFit="1" customWidth="1"/>
    <col min="7434" max="7434" width="39.375" style="55" customWidth="1"/>
    <col min="7435" max="7435" width="19.875" style="55" bestFit="1" customWidth="1"/>
    <col min="7436" max="7676" width="9" style="55"/>
    <col min="7677" max="7677" width="11.5" style="55" bestFit="1" customWidth="1"/>
    <col min="7678" max="7678" width="10.125" style="55" bestFit="1" customWidth="1"/>
    <col min="7679" max="7679" width="10.375" style="55" customWidth="1"/>
    <col min="7680" max="7680" width="15.75" style="55" customWidth="1"/>
    <col min="7681" max="7681" width="10.5" style="55" customWidth="1"/>
    <col min="7682" max="7682" width="11" style="55" customWidth="1"/>
    <col min="7683" max="7683" width="12.875" style="55" customWidth="1"/>
    <col min="7684" max="7684" width="44.25" style="55" customWidth="1"/>
    <col min="7685" max="7685" width="18" style="55" customWidth="1"/>
    <col min="7686" max="7686" width="12.375" style="55" customWidth="1"/>
    <col min="7687" max="7687" width="14.375" style="55" bestFit="1" customWidth="1"/>
    <col min="7688" max="7688" width="9" style="55" customWidth="1"/>
    <col min="7689" max="7689" width="38.5" style="55" bestFit="1" customWidth="1"/>
    <col min="7690" max="7690" width="39.375" style="55" customWidth="1"/>
    <col min="7691" max="7691" width="19.875" style="55" bestFit="1" customWidth="1"/>
    <col min="7692" max="7932" width="9" style="55"/>
    <col min="7933" max="7933" width="11.5" style="55" bestFit="1" customWidth="1"/>
    <col min="7934" max="7934" width="10.125" style="55" bestFit="1" customWidth="1"/>
    <col min="7935" max="7935" width="10.375" style="55" customWidth="1"/>
    <col min="7936" max="7936" width="15.75" style="55" customWidth="1"/>
    <col min="7937" max="7937" width="10.5" style="55" customWidth="1"/>
    <col min="7938" max="7938" width="11" style="55" customWidth="1"/>
    <col min="7939" max="7939" width="12.875" style="55" customWidth="1"/>
    <col min="7940" max="7940" width="44.25" style="55" customWidth="1"/>
    <col min="7941" max="7941" width="18" style="55" customWidth="1"/>
    <col min="7942" max="7942" width="12.375" style="55" customWidth="1"/>
    <col min="7943" max="7943" width="14.375" style="55" bestFit="1" customWidth="1"/>
    <col min="7944" max="7944" width="9" style="55" customWidth="1"/>
    <col min="7945" max="7945" width="38.5" style="55" bestFit="1" customWidth="1"/>
    <col min="7946" max="7946" width="39.375" style="55" customWidth="1"/>
    <col min="7947" max="7947" width="19.875" style="55" bestFit="1" customWidth="1"/>
    <col min="7948" max="8188" width="9" style="55"/>
    <col min="8189" max="8189" width="11.5" style="55" bestFit="1" customWidth="1"/>
    <col min="8190" max="8190" width="10.125" style="55" bestFit="1" customWidth="1"/>
    <col min="8191" max="8191" width="10.375" style="55" customWidth="1"/>
    <col min="8192" max="8192" width="15.75" style="55" customWidth="1"/>
    <col min="8193" max="8193" width="10.5" style="55" customWidth="1"/>
    <col min="8194" max="8194" width="11" style="55" customWidth="1"/>
    <col min="8195" max="8195" width="12.875" style="55" customWidth="1"/>
    <col min="8196" max="8196" width="44.25" style="55" customWidth="1"/>
    <col min="8197" max="8197" width="18" style="55" customWidth="1"/>
    <col min="8198" max="8198" width="12.375" style="55" customWidth="1"/>
    <col min="8199" max="8199" width="14.375" style="55" bestFit="1" customWidth="1"/>
    <col min="8200" max="8200" width="9" style="55" customWidth="1"/>
    <col min="8201" max="8201" width="38.5" style="55" bestFit="1" customWidth="1"/>
    <col min="8202" max="8202" width="39.375" style="55" customWidth="1"/>
    <col min="8203" max="8203" width="19.875" style="55" bestFit="1" customWidth="1"/>
    <col min="8204" max="8444" width="9" style="55"/>
    <col min="8445" max="8445" width="11.5" style="55" bestFit="1" customWidth="1"/>
    <col min="8446" max="8446" width="10.125" style="55" bestFit="1" customWidth="1"/>
    <col min="8447" max="8447" width="10.375" style="55" customWidth="1"/>
    <col min="8448" max="8448" width="15.75" style="55" customWidth="1"/>
    <col min="8449" max="8449" width="10.5" style="55" customWidth="1"/>
    <col min="8450" max="8450" width="11" style="55" customWidth="1"/>
    <col min="8451" max="8451" width="12.875" style="55" customWidth="1"/>
    <col min="8452" max="8452" width="44.25" style="55" customWidth="1"/>
    <col min="8453" max="8453" width="18" style="55" customWidth="1"/>
    <col min="8454" max="8454" width="12.375" style="55" customWidth="1"/>
    <col min="8455" max="8455" width="14.375" style="55" bestFit="1" customWidth="1"/>
    <col min="8456" max="8456" width="9" style="55" customWidth="1"/>
    <col min="8457" max="8457" width="38.5" style="55" bestFit="1" customWidth="1"/>
    <col min="8458" max="8458" width="39.375" style="55" customWidth="1"/>
    <col min="8459" max="8459" width="19.875" style="55" bestFit="1" customWidth="1"/>
    <col min="8460" max="8700" width="9" style="55"/>
    <col min="8701" max="8701" width="11.5" style="55" bestFit="1" customWidth="1"/>
    <col min="8702" max="8702" width="10.125" style="55" bestFit="1" customWidth="1"/>
    <col min="8703" max="8703" width="10.375" style="55" customWidth="1"/>
    <col min="8704" max="8704" width="15.75" style="55" customWidth="1"/>
    <col min="8705" max="8705" width="10.5" style="55" customWidth="1"/>
    <col min="8706" max="8706" width="11" style="55" customWidth="1"/>
    <col min="8707" max="8707" width="12.875" style="55" customWidth="1"/>
    <col min="8708" max="8708" width="44.25" style="55" customWidth="1"/>
    <col min="8709" max="8709" width="18" style="55" customWidth="1"/>
    <col min="8710" max="8710" width="12.375" style="55" customWidth="1"/>
    <col min="8711" max="8711" width="14.375" style="55" bestFit="1" customWidth="1"/>
    <col min="8712" max="8712" width="9" style="55" customWidth="1"/>
    <col min="8713" max="8713" width="38.5" style="55" bestFit="1" customWidth="1"/>
    <col min="8714" max="8714" width="39.375" style="55" customWidth="1"/>
    <col min="8715" max="8715" width="19.875" style="55" bestFit="1" customWidth="1"/>
    <col min="8716" max="8956" width="9" style="55"/>
    <col min="8957" max="8957" width="11.5" style="55" bestFit="1" customWidth="1"/>
    <col min="8958" max="8958" width="10.125" style="55" bestFit="1" customWidth="1"/>
    <col min="8959" max="8959" width="10.375" style="55" customWidth="1"/>
    <col min="8960" max="8960" width="15.75" style="55" customWidth="1"/>
    <col min="8961" max="8961" width="10.5" style="55" customWidth="1"/>
    <col min="8962" max="8962" width="11" style="55" customWidth="1"/>
    <col min="8963" max="8963" width="12.875" style="55" customWidth="1"/>
    <col min="8964" max="8964" width="44.25" style="55" customWidth="1"/>
    <col min="8965" max="8965" width="18" style="55" customWidth="1"/>
    <col min="8966" max="8966" width="12.375" style="55" customWidth="1"/>
    <col min="8967" max="8967" width="14.375" style="55" bestFit="1" customWidth="1"/>
    <col min="8968" max="8968" width="9" style="55" customWidth="1"/>
    <col min="8969" max="8969" width="38.5" style="55" bestFit="1" customWidth="1"/>
    <col min="8970" max="8970" width="39.375" style="55" customWidth="1"/>
    <col min="8971" max="8971" width="19.875" style="55" bestFit="1" customWidth="1"/>
    <col min="8972" max="9212" width="9" style="55"/>
    <col min="9213" max="9213" width="11.5" style="55" bestFit="1" customWidth="1"/>
    <col min="9214" max="9214" width="10.125" style="55" bestFit="1" customWidth="1"/>
    <col min="9215" max="9215" width="10.375" style="55" customWidth="1"/>
    <col min="9216" max="9216" width="15.75" style="55" customWidth="1"/>
    <col min="9217" max="9217" width="10.5" style="55" customWidth="1"/>
    <col min="9218" max="9218" width="11" style="55" customWidth="1"/>
    <col min="9219" max="9219" width="12.875" style="55" customWidth="1"/>
    <col min="9220" max="9220" width="44.25" style="55" customWidth="1"/>
    <col min="9221" max="9221" width="18" style="55" customWidth="1"/>
    <col min="9222" max="9222" width="12.375" style="55" customWidth="1"/>
    <col min="9223" max="9223" width="14.375" style="55" bestFit="1" customWidth="1"/>
    <col min="9224" max="9224" width="9" style="55" customWidth="1"/>
    <col min="9225" max="9225" width="38.5" style="55" bestFit="1" customWidth="1"/>
    <col min="9226" max="9226" width="39.375" style="55" customWidth="1"/>
    <col min="9227" max="9227" width="19.875" style="55" bestFit="1" customWidth="1"/>
    <col min="9228" max="9468" width="9" style="55"/>
    <col min="9469" max="9469" width="11.5" style="55" bestFit="1" customWidth="1"/>
    <col min="9470" max="9470" width="10.125" style="55" bestFit="1" customWidth="1"/>
    <col min="9471" max="9471" width="10.375" style="55" customWidth="1"/>
    <col min="9472" max="9472" width="15.75" style="55" customWidth="1"/>
    <col min="9473" max="9473" width="10.5" style="55" customWidth="1"/>
    <col min="9474" max="9474" width="11" style="55" customWidth="1"/>
    <col min="9475" max="9475" width="12.875" style="55" customWidth="1"/>
    <col min="9476" max="9476" width="44.25" style="55" customWidth="1"/>
    <col min="9477" max="9477" width="18" style="55" customWidth="1"/>
    <col min="9478" max="9478" width="12.375" style="55" customWidth="1"/>
    <col min="9479" max="9479" width="14.375" style="55" bestFit="1" customWidth="1"/>
    <col min="9480" max="9480" width="9" style="55" customWidth="1"/>
    <col min="9481" max="9481" width="38.5" style="55" bestFit="1" customWidth="1"/>
    <col min="9482" max="9482" width="39.375" style="55" customWidth="1"/>
    <col min="9483" max="9483" width="19.875" style="55" bestFit="1" customWidth="1"/>
    <col min="9484" max="9724" width="9" style="55"/>
    <col min="9725" max="9725" width="11.5" style="55" bestFit="1" customWidth="1"/>
    <col min="9726" max="9726" width="10.125" style="55" bestFit="1" customWidth="1"/>
    <col min="9727" max="9727" width="10.375" style="55" customWidth="1"/>
    <col min="9728" max="9728" width="15.75" style="55" customWidth="1"/>
    <col min="9729" max="9729" width="10.5" style="55" customWidth="1"/>
    <col min="9730" max="9730" width="11" style="55" customWidth="1"/>
    <col min="9731" max="9731" width="12.875" style="55" customWidth="1"/>
    <col min="9732" max="9732" width="44.25" style="55" customWidth="1"/>
    <col min="9733" max="9733" width="18" style="55" customWidth="1"/>
    <col min="9734" max="9734" width="12.375" style="55" customWidth="1"/>
    <col min="9735" max="9735" width="14.375" style="55" bestFit="1" customWidth="1"/>
    <col min="9736" max="9736" width="9" style="55" customWidth="1"/>
    <col min="9737" max="9737" width="38.5" style="55" bestFit="1" customWidth="1"/>
    <col min="9738" max="9738" width="39.375" style="55" customWidth="1"/>
    <col min="9739" max="9739" width="19.875" style="55" bestFit="1" customWidth="1"/>
    <col min="9740" max="9980" width="9" style="55"/>
    <col min="9981" max="9981" width="11.5" style="55" bestFit="1" customWidth="1"/>
    <col min="9982" max="9982" width="10.125" style="55" bestFit="1" customWidth="1"/>
    <col min="9983" max="9983" width="10.375" style="55" customWidth="1"/>
    <col min="9984" max="9984" width="15.75" style="55" customWidth="1"/>
    <col min="9985" max="9985" width="10.5" style="55" customWidth="1"/>
    <col min="9986" max="9986" width="11" style="55" customWidth="1"/>
    <col min="9987" max="9987" width="12.875" style="55" customWidth="1"/>
    <col min="9988" max="9988" width="44.25" style="55" customWidth="1"/>
    <col min="9989" max="9989" width="18" style="55" customWidth="1"/>
    <col min="9990" max="9990" width="12.375" style="55" customWidth="1"/>
    <col min="9991" max="9991" width="14.375" style="55" bestFit="1" customWidth="1"/>
    <col min="9992" max="9992" width="9" style="55" customWidth="1"/>
    <col min="9993" max="9993" width="38.5" style="55" bestFit="1" customWidth="1"/>
    <col min="9994" max="9994" width="39.375" style="55" customWidth="1"/>
    <col min="9995" max="9995" width="19.875" style="55" bestFit="1" customWidth="1"/>
    <col min="9996" max="10236" width="9" style="55"/>
    <col min="10237" max="10237" width="11.5" style="55" bestFit="1" customWidth="1"/>
    <col min="10238" max="10238" width="10.125" style="55" bestFit="1" customWidth="1"/>
    <col min="10239" max="10239" width="10.375" style="55" customWidth="1"/>
    <col min="10240" max="10240" width="15.75" style="55" customWidth="1"/>
    <col min="10241" max="10241" width="10.5" style="55" customWidth="1"/>
    <col min="10242" max="10242" width="11" style="55" customWidth="1"/>
    <col min="10243" max="10243" width="12.875" style="55" customWidth="1"/>
    <col min="10244" max="10244" width="44.25" style="55" customWidth="1"/>
    <col min="10245" max="10245" width="18" style="55" customWidth="1"/>
    <col min="10246" max="10246" width="12.375" style="55" customWidth="1"/>
    <col min="10247" max="10247" width="14.375" style="55" bestFit="1" customWidth="1"/>
    <col min="10248" max="10248" width="9" style="55" customWidth="1"/>
    <col min="10249" max="10249" width="38.5" style="55" bestFit="1" customWidth="1"/>
    <col min="10250" max="10250" width="39.375" style="55" customWidth="1"/>
    <col min="10251" max="10251" width="19.875" style="55" bestFit="1" customWidth="1"/>
    <col min="10252" max="10492" width="9" style="55"/>
    <col min="10493" max="10493" width="11.5" style="55" bestFit="1" customWidth="1"/>
    <col min="10494" max="10494" width="10.125" style="55" bestFit="1" customWidth="1"/>
    <col min="10495" max="10495" width="10.375" style="55" customWidth="1"/>
    <col min="10496" max="10496" width="15.75" style="55" customWidth="1"/>
    <col min="10497" max="10497" width="10.5" style="55" customWidth="1"/>
    <col min="10498" max="10498" width="11" style="55" customWidth="1"/>
    <col min="10499" max="10499" width="12.875" style="55" customWidth="1"/>
    <col min="10500" max="10500" width="44.25" style="55" customWidth="1"/>
    <col min="10501" max="10501" width="18" style="55" customWidth="1"/>
    <col min="10502" max="10502" width="12.375" style="55" customWidth="1"/>
    <col min="10503" max="10503" width="14.375" style="55" bestFit="1" customWidth="1"/>
    <col min="10504" max="10504" width="9" style="55" customWidth="1"/>
    <col min="10505" max="10505" width="38.5" style="55" bestFit="1" customWidth="1"/>
    <col min="10506" max="10506" width="39.375" style="55" customWidth="1"/>
    <col min="10507" max="10507" width="19.875" style="55" bestFit="1" customWidth="1"/>
    <col min="10508" max="10748" width="9" style="55"/>
    <col min="10749" max="10749" width="11.5" style="55" bestFit="1" customWidth="1"/>
    <col min="10750" max="10750" width="10.125" style="55" bestFit="1" customWidth="1"/>
    <col min="10751" max="10751" width="10.375" style="55" customWidth="1"/>
    <col min="10752" max="10752" width="15.75" style="55" customWidth="1"/>
    <col min="10753" max="10753" width="10.5" style="55" customWidth="1"/>
    <col min="10754" max="10754" width="11" style="55" customWidth="1"/>
    <col min="10755" max="10755" width="12.875" style="55" customWidth="1"/>
    <col min="10756" max="10756" width="44.25" style="55" customWidth="1"/>
    <col min="10757" max="10757" width="18" style="55" customWidth="1"/>
    <col min="10758" max="10758" width="12.375" style="55" customWidth="1"/>
    <col min="10759" max="10759" width="14.375" style="55" bestFit="1" customWidth="1"/>
    <col min="10760" max="10760" width="9" style="55" customWidth="1"/>
    <col min="10761" max="10761" width="38.5" style="55" bestFit="1" customWidth="1"/>
    <col min="10762" max="10762" width="39.375" style="55" customWidth="1"/>
    <col min="10763" max="10763" width="19.875" style="55" bestFit="1" customWidth="1"/>
    <col min="10764" max="11004" width="9" style="55"/>
    <col min="11005" max="11005" width="11.5" style="55" bestFit="1" customWidth="1"/>
    <col min="11006" max="11006" width="10.125" style="55" bestFit="1" customWidth="1"/>
    <col min="11007" max="11007" width="10.375" style="55" customWidth="1"/>
    <col min="11008" max="11008" width="15.75" style="55" customWidth="1"/>
    <col min="11009" max="11009" width="10.5" style="55" customWidth="1"/>
    <col min="11010" max="11010" width="11" style="55" customWidth="1"/>
    <col min="11011" max="11011" width="12.875" style="55" customWidth="1"/>
    <col min="11012" max="11012" width="44.25" style="55" customWidth="1"/>
    <col min="11013" max="11013" width="18" style="55" customWidth="1"/>
    <col min="11014" max="11014" width="12.375" style="55" customWidth="1"/>
    <col min="11015" max="11015" width="14.375" style="55" bestFit="1" customWidth="1"/>
    <col min="11016" max="11016" width="9" style="55" customWidth="1"/>
    <col min="11017" max="11017" width="38.5" style="55" bestFit="1" customWidth="1"/>
    <col min="11018" max="11018" width="39.375" style="55" customWidth="1"/>
    <col min="11019" max="11019" width="19.875" style="55" bestFit="1" customWidth="1"/>
    <col min="11020" max="11260" width="9" style="55"/>
    <col min="11261" max="11261" width="11.5" style="55" bestFit="1" customWidth="1"/>
    <col min="11262" max="11262" width="10.125" style="55" bestFit="1" customWidth="1"/>
    <col min="11263" max="11263" width="10.375" style="55" customWidth="1"/>
    <col min="11264" max="11264" width="15.75" style="55" customWidth="1"/>
    <col min="11265" max="11265" width="10.5" style="55" customWidth="1"/>
    <col min="11266" max="11266" width="11" style="55" customWidth="1"/>
    <col min="11267" max="11267" width="12.875" style="55" customWidth="1"/>
    <col min="11268" max="11268" width="44.25" style="55" customWidth="1"/>
    <col min="11269" max="11269" width="18" style="55" customWidth="1"/>
    <col min="11270" max="11270" width="12.375" style="55" customWidth="1"/>
    <col min="11271" max="11271" width="14.375" style="55" bestFit="1" customWidth="1"/>
    <col min="11272" max="11272" width="9" style="55" customWidth="1"/>
    <col min="11273" max="11273" width="38.5" style="55" bestFit="1" customWidth="1"/>
    <col min="11274" max="11274" width="39.375" style="55" customWidth="1"/>
    <col min="11275" max="11275" width="19.875" style="55" bestFit="1" customWidth="1"/>
    <col min="11276" max="11516" width="9" style="55"/>
    <col min="11517" max="11517" width="11.5" style="55" bestFit="1" customWidth="1"/>
    <col min="11518" max="11518" width="10.125" style="55" bestFit="1" customWidth="1"/>
    <col min="11519" max="11519" width="10.375" style="55" customWidth="1"/>
    <col min="11520" max="11520" width="15.75" style="55" customWidth="1"/>
    <col min="11521" max="11521" width="10.5" style="55" customWidth="1"/>
    <col min="11522" max="11522" width="11" style="55" customWidth="1"/>
    <col min="11523" max="11523" width="12.875" style="55" customWidth="1"/>
    <col min="11524" max="11524" width="44.25" style="55" customWidth="1"/>
    <col min="11525" max="11525" width="18" style="55" customWidth="1"/>
    <col min="11526" max="11526" width="12.375" style="55" customWidth="1"/>
    <col min="11527" max="11527" width="14.375" style="55" bestFit="1" customWidth="1"/>
    <col min="11528" max="11528" width="9" style="55" customWidth="1"/>
    <col min="11529" max="11529" width="38.5" style="55" bestFit="1" customWidth="1"/>
    <col min="11530" max="11530" width="39.375" style="55" customWidth="1"/>
    <col min="11531" max="11531" width="19.875" style="55" bestFit="1" customWidth="1"/>
    <col min="11532" max="11772" width="9" style="55"/>
    <col min="11773" max="11773" width="11.5" style="55" bestFit="1" customWidth="1"/>
    <col min="11774" max="11774" width="10.125" style="55" bestFit="1" customWidth="1"/>
    <col min="11775" max="11775" width="10.375" style="55" customWidth="1"/>
    <col min="11776" max="11776" width="15.75" style="55" customWidth="1"/>
    <col min="11777" max="11777" width="10.5" style="55" customWidth="1"/>
    <col min="11778" max="11778" width="11" style="55" customWidth="1"/>
    <col min="11779" max="11779" width="12.875" style="55" customWidth="1"/>
    <col min="11780" max="11780" width="44.25" style="55" customWidth="1"/>
    <col min="11781" max="11781" width="18" style="55" customWidth="1"/>
    <col min="11782" max="11782" width="12.375" style="55" customWidth="1"/>
    <col min="11783" max="11783" width="14.375" style="55" bestFit="1" customWidth="1"/>
    <col min="11784" max="11784" width="9" style="55" customWidth="1"/>
    <col min="11785" max="11785" width="38.5" style="55" bestFit="1" customWidth="1"/>
    <col min="11786" max="11786" width="39.375" style="55" customWidth="1"/>
    <col min="11787" max="11787" width="19.875" style="55" bestFit="1" customWidth="1"/>
    <col min="11788" max="12028" width="9" style="55"/>
    <col min="12029" max="12029" width="11.5" style="55" bestFit="1" customWidth="1"/>
    <col min="12030" max="12030" width="10.125" style="55" bestFit="1" customWidth="1"/>
    <col min="12031" max="12031" width="10.375" style="55" customWidth="1"/>
    <col min="12032" max="12032" width="15.75" style="55" customWidth="1"/>
    <col min="12033" max="12033" width="10.5" style="55" customWidth="1"/>
    <col min="12034" max="12034" width="11" style="55" customWidth="1"/>
    <col min="12035" max="12035" width="12.875" style="55" customWidth="1"/>
    <col min="12036" max="12036" width="44.25" style="55" customWidth="1"/>
    <col min="12037" max="12037" width="18" style="55" customWidth="1"/>
    <col min="12038" max="12038" width="12.375" style="55" customWidth="1"/>
    <col min="12039" max="12039" width="14.375" style="55" bestFit="1" customWidth="1"/>
    <col min="12040" max="12040" width="9" style="55" customWidth="1"/>
    <col min="12041" max="12041" width="38.5" style="55" bestFit="1" customWidth="1"/>
    <col min="12042" max="12042" width="39.375" style="55" customWidth="1"/>
    <col min="12043" max="12043" width="19.875" style="55" bestFit="1" customWidth="1"/>
    <col min="12044" max="12284" width="9" style="55"/>
    <col min="12285" max="12285" width="11.5" style="55" bestFit="1" customWidth="1"/>
    <col min="12286" max="12286" width="10.125" style="55" bestFit="1" customWidth="1"/>
    <col min="12287" max="12287" width="10.375" style="55" customWidth="1"/>
    <col min="12288" max="12288" width="15.75" style="55" customWidth="1"/>
    <col min="12289" max="12289" width="10.5" style="55" customWidth="1"/>
    <col min="12290" max="12290" width="11" style="55" customWidth="1"/>
    <col min="12291" max="12291" width="12.875" style="55" customWidth="1"/>
    <col min="12292" max="12292" width="44.25" style="55" customWidth="1"/>
    <col min="12293" max="12293" width="18" style="55" customWidth="1"/>
    <col min="12294" max="12294" width="12.375" style="55" customWidth="1"/>
    <col min="12295" max="12295" width="14.375" style="55" bestFit="1" customWidth="1"/>
    <col min="12296" max="12296" width="9" style="55" customWidth="1"/>
    <col min="12297" max="12297" width="38.5" style="55" bestFit="1" customWidth="1"/>
    <col min="12298" max="12298" width="39.375" style="55" customWidth="1"/>
    <col min="12299" max="12299" width="19.875" style="55" bestFit="1" customWidth="1"/>
    <col min="12300" max="12540" width="9" style="55"/>
    <col min="12541" max="12541" width="11.5" style="55" bestFit="1" customWidth="1"/>
    <col min="12542" max="12542" width="10.125" style="55" bestFit="1" customWidth="1"/>
    <col min="12543" max="12543" width="10.375" style="55" customWidth="1"/>
    <col min="12544" max="12544" width="15.75" style="55" customWidth="1"/>
    <col min="12545" max="12545" width="10.5" style="55" customWidth="1"/>
    <col min="12546" max="12546" width="11" style="55" customWidth="1"/>
    <col min="12547" max="12547" width="12.875" style="55" customWidth="1"/>
    <col min="12548" max="12548" width="44.25" style="55" customWidth="1"/>
    <col min="12549" max="12549" width="18" style="55" customWidth="1"/>
    <col min="12550" max="12550" width="12.375" style="55" customWidth="1"/>
    <col min="12551" max="12551" width="14.375" style="55" bestFit="1" customWidth="1"/>
    <col min="12552" max="12552" width="9" style="55" customWidth="1"/>
    <col min="12553" max="12553" width="38.5" style="55" bestFit="1" customWidth="1"/>
    <col min="12554" max="12554" width="39.375" style="55" customWidth="1"/>
    <col min="12555" max="12555" width="19.875" style="55" bestFit="1" customWidth="1"/>
    <col min="12556" max="12796" width="9" style="55"/>
    <col min="12797" max="12797" width="11.5" style="55" bestFit="1" customWidth="1"/>
    <col min="12798" max="12798" width="10.125" style="55" bestFit="1" customWidth="1"/>
    <col min="12799" max="12799" width="10.375" style="55" customWidth="1"/>
    <col min="12800" max="12800" width="15.75" style="55" customWidth="1"/>
    <col min="12801" max="12801" width="10.5" style="55" customWidth="1"/>
    <col min="12802" max="12802" width="11" style="55" customWidth="1"/>
    <col min="12803" max="12803" width="12.875" style="55" customWidth="1"/>
    <col min="12804" max="12804" width="44.25" style="55" customWidth="1"/>
    <col min="12805" max="12805" width="18" style="55" customWidth="1"/>
    <col min="12806" max="12806" width="12.375" style="55" customWidth="1"/>
    <col min="12807" max="12807" width="14.375" style="55" bestFit="1" customWidth="1"/>
    <col min="12808" max="12808" width="9" style="55" customWidth="1"/>
    <col min="12809" max="12809" width="38.5" style="55" bestFit="1" customWidth="1"/>
    <col min="12810" max="12810" width="39.375" style="55" customWidth="1"/>
    <col min="12811" max="12811" width="19.875" style="55" bestFit="1" customWidth="1"/>
    <col min="12812" max="13052" width="9" style="55"/>
    <col min="13053" max="13053" width="11.5" style="55" bestFit="1" customWidth="1"/>
    <col min="13054" max="13054" width="10.125" style="55" bestFit="1" customWidth="1"/>
    <col min="13055" max="13055" width="10.375" style="55" customWidth="1"/>
    <col min="13056" max="13056" width="15.75" style="55" customWidth="1"/>
    <col min="13057" max="13057" width="10.5" style="55" customWidth="1"/>
    <col min="13058" max="13058" width="11" style="55" customWidth="1"/>
    <col min="13059" max="13059" width="12.875" style="55" customWidth="1"/>
    <col min="13060" max="13060" width="44.25" style="55" customWidth="1"/>
    <col min="13061" max="13061" width="18" style="55" customWidth="1"/>
    <col min="13062" max="13062" width="12.375" style="55" customWidth="1"/>
    <col min="13063" max="13063" width="14.375" style="55" bestFit="1" customWidth="1"/>
    <col min="13064" max="13064" width="9" style="55" customWidth="1"/>
    <col min="13065" max="13065" width="38.5" style="55" bestFit="1" customWidth="1"/>
    <col min="13066" max="13066" width="39.375" style="55" customWidth="1"/>
    <col min="13067" max="13067" width="19.875" style="55" bestFit="1" customWidth="1"/>
    <col min="13068" max="13308" width="9" style="55"/>
    <col min="13309" max="13309" width="11.5" style="55" bestFit="1" customWidth="1"/>
    <col min="13310" max="13310" width="10.125" style="55" bestFit="1" customWidth="1"/>
    <col min="13311" max="13311" width="10.375" style="55" customWidth="1"/>
    <col min="13312" max="13312" width="15.75" style="55" customWidth="1"/>
    <col min="13313" max="13313" width="10.5" style="55" customWidth="1"/>
    <col min="13314" max="13314" width="11" style="55" customWidth="1"/>
    <col min="13315" max="13315" width="12.875" style="55" customWidth="1"/>
    <col min="13316" max="13316" width="44.25" style="55" customWidth="1"/>
    <col min="13317" max="13317" width="18" style="55" customWidth="1"/>
    <col min="13318" max="13318" width="12.375" style="55" customWidth="1"/>
    <col min="13319" max="13319" width="14.375" style="55" bestFit="1" customWidth="1"/>
    <col min="13320" max="13320" width="9" style="55" customWidth="1"/>
    <col min="13321" max="13321" width="38.5" style="55" bestFit="1" customWidth="1"/>
    <col min="13322" max="13322" width="39.375" style="55" customWidth="1"/>
    <col min="13323" max="13323" width="19.875" style="55" bestFit="1" customWidth="1"/>
    <col min="13324" max="13564" width="9" style="55"/>
    <col min="13565" max="13565" width="11.5" style="55" bestFit="1" customWidth="1"/>
    <col min="13566" max="13566" width="10.125" style="55" bestFit="1" customWidth="1"/>
    <col min="13567" max="13567" width="10.375" style="55" customWidth="1"/>
    <col min="13568" max="13568" width="15.75" style="55" customWidth="1"/>
    <col min="13569" max="13569" width="10.5" style="55" customWidth="1"/>
    <col min="13570" max="13570" width="11" style="55" customWidth="1"/>
    <col min="13571" max="13571" width="12.875" style="55" customWidth="1"/>
    <col min="13572" max="13572" width="44.25" style="55" customWidth="1"/>
    <col min="13573" max="13573" width="18" style="55" customWidth="1"/>
    <col min="13574" max="13574" width="12.375" style="55" customWidth="1"/>
    <col min="13575" max="13575" width="14.375" style="55" bestFit="1" customWidth="1"/>
    <col min="13576" max="13576" width="9" style="55" customWidth="1"/>
    <col min="13577" max="13577" width="38.5" style="55" bestFit="1" customWidth="1"/>
    <col min="13578" max="13578" width="39.375" style="55" customWidth="1"/>
    <col min="13579" max="13579" width="19.875" style="55" bestFit="1" customWidth="1"/>
    <col min="13580" max="13820" width="9" style="55"/>
    <col min="13821" max="13821" width="11.5" style="55" bestFit="1" customWidth="1"/>
    <col min="13822" max="13822" width="10.125" style="55" bestFit="1" customWidth="1"/>
    <col min="13823" max="13823" width="10.375" style="55" customWidth="1"/>
    <col min="13824" max="13824" width="15.75" style="55" customWidth="1"/>
    <col min="13825" max="13825" width="10.5" style="55" customWidth="1"/>
    <col min="13826" max="13826" width="11" style="55" customWidth="1"/>
    <col min="13827" max="13827" width="12.875" style="55" customWidth="1"/>
    <col min="13828" max="13828" width="44.25" style="55" customWidth="1"/>
    <col min="13829" max="13829" width="18" style="55" customWidth="1"/>
    <col min="13830" max="13830" width="12.375" style="55" customWidth="1"/>
    <col min="13831" max="13831" width="14.375" style="55" bestFit="1" customWidth="1"/>
    <col min="13832" max="13832" width="9" style="55" customWidth="1"/>
    <col min="13833" max="13833" width="38.5" style="55" bestFit="1" customWidth="1"/>
    <col min="13834" max="13834" width="39.375" style="55" customWidth="1"/>
    <col min="13835" max="13835" width="19.875" style="55" bestFit="1" customWidth="1"/>
    <col min="13836" max="14076" width="9" style="55"/>
    <col min="14077" max="14077" width="11.5" style="55" bestFit="1" customWidth="1"/>
    <col min="14078" max="14078" width="10.125" style="55" bestFit="1" customWidth="1"/>
    <col min="14079" max="14079" width="10.375" style="55" customWidth="1"/>
    <col min="14080" max="14080" width="15.75" style="55" customWidth="1"/>
    <col min="14081" max="14081" width="10.5" style="55" customWidth="1"/>
    <col min="14082" max="14082" width="11" style="55" customWidth="1"/>
    <col min="14083" max="14083" width="12.875" style="55" customWidth="1"/>
    <col min="14084" max="14084" width="44.25" style="55" customWidth="1"/>
    <col min="14085" max="14085" width="18" style="55" customWidth="1"/>
    <col min="14086" max="14086" width="12.375" style="55" customWidth="1"/>
    <col min="14087" max="14087" width="14.375" style="55" bestFit="1" customWidth="1"/>
    <col min="14088" max="14088" width="9" style="55" customWidth="1"/>
    <col min="14089" max="14089" width="38.5" style="55" bestFit="1" customWidth="1"/>
    <col min="14090" max="14090" width="39.375" style="55" customWidth="1"/>
    <col min="14091" max="14091" width="19.875" style="55" bestFit="1" customWidth="1"/>
    <col min="14092" max="14332" width="9" style="55"/>
    <col min="14333" max="14333" width="11.5" style="55" bestFit="1" customWidth="1"/>
    <col min="14334" max="14334" width="10.125" style="55" bestFit="1" customWidth="1"/>
    <col min="14335" max="14335" width="10.375" style="55" customWidth="1"/>
    <col min="14336" max="14336" width="15.75" style="55" customWidth="1"/>
    <col min="14337" max="14337" width="10.5" style="55" customWidth="1"/>
    <col min="14338" max="14338" width="11" style="55" customWidth="1"/>
    <col min="14339" max="14339" width="12.875" style="55" customWidth="1"/>
    <col min="14340" max="14340" width="44.25" style="55" customWidth="1"/>
    <col min="14341" max="14341" width="18" style="55" customWidth="1"/>
    <col min="14342" max="14342" width="12.375" style="55" customWidth="1"/>
    <col min="14343" max="14343" width="14.375" style="55" bestFit="1" customWidth="1"/>
    <col min="14344" max="14344" width="9" style="55" customWidth="1"/>
    <col min="14345" max="14345" width="38.5" style="55" bestFit="1" customWidth="1"/>
    <col min="14346" max="14346" width="39.375" style="55" customWidth="1"/>
    <col min="14347" max="14347" width="19.875" style="55" bestFit="1" customWidth="1"/>
    <col min="14348" max="14588" width="9" style="55"/>
    <col min="14589" max="14589" width="11.5" style="55" bestFit="1" customWidth="1"/>
    <col min="14590" max="14590" width="10.125" style="55" bestFit="1" customWidth="1"/>
    <col min="14591" max="14591" width="10.375" style="55" customWidth="1"/>
    <col min="14592" max="14592" width="15.75" style="55" customWidth="1"/>
    <col min="14593" max="14593" width="10.5" style="55" customWidth="1"/>
    <col min="14594" max="14594" width="11" style="55" customWidth="1"/>
    <col min="14595" max="14595" width="12.875" style="55" customWidth="1"/>
    <col min="14596" max="14596" width="44.25" style="55" customWidth="1"/>
    <col min="14597" max="14597" width="18" style="55" customWidth="1"/>
    <col min="14598" max="14598" width="12.375" style="55" customWidth="1"/>
    <col min="14599" max="14599" width="14.375" style="55" bestFit="1" customWidth="1"/>
    <col min="14600" max="14600" width="9" style="55" customWidth="1"/>
    <col min="14601" max="14601" width="38.5" style="55" bestFit="1" customWidth="1"/>
    <col min="14602" max="14602" width="39.375" style="55" customWidth="1"/>
    <col min="14603" max="14603" width="19.875" style="55" bestFit="1" customWidth="1"/>
    <col min="14604" max="14844" width="9" style="55"/>
    <col min="14845" max="14845" width="11.5" style="55" bestFit="1" customWidth="1"/>
    <col min="14846" max="14846" width="10.125" style="55" bestFit="1" customWidth="1"/>
    <col min="14847" max="14847" width="10.375" style="55" customWidth="1"/>
    <col min="14848" max="14848" width="15.75" style="55" customWidth="1"/>
    <col min="14849" max="14849" width="10.5" style="55" customWidth="1"/>
    <col min="14850" max="14850" width="11" style="55" customWidth="1"/>
    <col min="14851" max="14851" width="12.875" style="55" customWidth="1"/>
    <col min="14852" max="14852" width="44.25" style="55" customWidth="1"/>
    <col min="14853" max="14853" width="18" style="55" customWidth="1"/>
    <col min="14854" max="14854" width="12.375" style="55" customWidth="1"/>
    <col min="14855" max="14855" width="14.375" style="55" bestFit="1" customWidth="1"/>
    <col min="14856" max="14856" width="9" style="55" customWidth="1"/>
    <col min="14857" max="14857" width="38.5" style="55" bestFit="1" customWidth="1"/>
    <col min="14858" max="14858" width="39.375" style="55" customWidth="1"/>
    <col min="14859" max="14859" width="19.875" style="55" bestFit="1" customWidth="1"/>
    <col min="14860" max="15100" width="9" style="55"/>
    <col min="15101" max="15101" width="11.5" style="55" bestFit="1" customWidth="1"/>
    <col min="15102" max="15102" width="10.125" style="55" bestFit="1" customWidth="1"/>
    <col min="15103" max="15103" width="10.375" style="55" customWidth="1"/>
    <col min="15104" max="15104" width="15.75" style="55" customWidth="1"/>
    <col min="15105" max="15105" width="10.5" style="55" customWidth="1"/>
    <col min="15106" max="15106" width="11" style="55" customWidth="1"/>
    <col min="15107" max="15107" width="12.875" style="55" customWidth="1"/>
    <col min="15108" max="15108" width="44.25" style="55" customWidth="1"/>
    <col min="15109" max="15109" width="18" style="55" customWidth="1"/>
    <col min="15110" max="15110" width="12.375" style="55" customWidth="1"/>
    <col min="15111" max="15111" width="14.375" style="55" bestFit="1" customWidth="1"/>
    <col min="15112" max="15112" width="9" style="55" customWidth="1"/>
    <col min="15113" max="15113" width="38.5" style="55" bestFit="1" customWidth="1"/>
    <col min="15114" max="15114" width="39.375" style="55" customWidth="1"/>
    <col min="15115" max="15115" width="19.875" style="55" bestFit="1" customWidth="1"/>
    <col min="15116" max="15356" width="9" style="55"/>
    <col min="15357" max="15357" width="11.5" style="55" bestFit="1" customWidth="1"/>
    <col min="15358" max="15358" width="10.125" style="55" bestFit="1" customWidth="1"/>
    <col min="15359" max="15359" width="10.375" style="55" customWidth="1"/>
    <col min="15360" max="15360" width="15.75" style="55" customWidth="1"/>
    <col min="15361" max="15361" width="10.5" style="55" customWidth="1"/>
    <col min="15362" max="15362" width="11" style="55" customWidth="1"/>
    <col min="15363" max="15363" width="12.875" style="55" customWidth="1"/>
    <col min="15364" max="15364" width="44.25" style="55" customWidth="1"/>
    <col min="15365" max="15365" width="18" style="55" customWidth="1"/>
    <col min="15366" max="15366" width="12.375" style="55" customWidth="1"/>
    <col min="15367" max="15367" width="14.375" style="55" bestFit="1" customWidth="1"/>
    <col min="15368" max="15368" width="9" style="55" customWidth="1"/>
    <col min="15369" max="15369" width="38.5" style="55" bestFit="1" customWidth="1"/>
    <col min="15370" max="15370" width="39.375" style="55" customWidth="1"/>
    <col min="15371" max="15371" width="19.875" style="55" bestFit="1" customWidth="1"/>
    <col min="15372" max="15612" width="9" style="55"/>
    <col min="15613" max="15613" width="11.5" style="55" bestFit="1" customWidth="1"/>
    <col min="15614" max="15614" width="10.125" style="55" bestFit="1" customWidth="1"/>
    <col min="15615" max="15615" width="10.375" style="55" customWidth="1"/>
    <col min="15616" max="15616" width="15.75" style="55" customWidth="1"/>
    <col min="15617" max="15617" width="10.5" style="55" customWidth="1"/>
    <col min="15618" max="15618" width="11" style="55" customWidth="1"/>
    <col min="15619" max="15619" width="12.875" style="55" customWidth="1"/>
    <col min="15620" max="15620" width="44.25" style="55" customWidth="1"/>
    <col min="15621" max="15621" width="18" style="55" customWidth="1"/>
    <col min="15622" max="15622" width="12.375" style="55" customWidth="1"/>
    <col min="15623" max="15623" width="14.375" style="55" bestFit="1" customWidth="1"/>
    <col min="15624" max="15624" width="9" style="55" customWidth="1"/>
    <col min="15625" max="15625" width="38.5" style="55" bestFit="1" customWidth="1"/>
    <col min="15626" max="15626" width="39.375" style="55" customWidth="1"/>
    <col min="15627" max="15627" width="19.875" style="55" bestFit="1" customWidth="1"/>
    <col min="15628" max="15868" width="9" style="55"/>
    <col min="15869" max="15869" width="11.5" style="55" bestFit="1" customWidth="1"/>
    <col min="15870" max="15870" width="10.125" style="55" bestFit="1" customWidth="1"/>
    <col min="15871" max="15871" width="10.375" style="55" customWidth="1"/>
    <col min="15872" max="15872" width="15.75" style="55" customWidth="1"/>
    <col min="15873" max="15873" width="10.5" style="55" customWidth="1"/>
    <col min="15874" max="15874" width="11" style="55" customWidth="1"/>
    <col min="15875" max="15875" width="12.875" style="55" customWidth="1"/>
    <col min="15876" max="15876" width="44.25" style="55" customWidth="1"/>
    <col min="15877" max="15877" width="18" style="55" customWidth="1"/>
    <col min="15878" max="15878" width="12.375" style="55" customWidth="1"/>
    <col min="15879" max="15879" width="14.375" style="55" bestFit="1" customWidth="1"/>
    <col min="15880" max="15880" width="9" style="55" customWidth="1"/>
    <col min="15881" max="15881" width="38.5" style="55" bestFit="1" customWidth="1"/>
    <col min="15882" max="15882" width="39.375" style="55" customWidth="1"/>
    <col min="15883" max="15883" width="19.875" style="55" bestFit="1" customWidth="1"/>
    <col min="15884" max="16124" width="9" style="55"/>
    <col min="16125" max="16125" width="11.5" style="55" bestFit="1" customWidth="1"/>
    <col min="16126" max="16126" width="10.125" style="55" bestFit="1" customWidth="1"/>
    <col min="16127" max="16127" width="10.375" style="55" customWidth="1"/>
    <col min="16128" max="16128" width="15.75" style="55" customWidth="1"/>
    <col min="16129" max="16129" width="10.5" style="55" customWidth="1"/>
    <col min="16130" max="16130" width="11" style="55" customWidth="1"/>
    <col min="16131" max="16131" width="12.875" style="55" customWidth="1"/>
    <col min="16132" max="16132" width="44.25" style="55" customWidth="1"/>
    <col min="16133" max="16133" width="18" style="55" customWidth="1"/>
    <col min="16134" max="16134" width="12.375" style="55" customWidth="1"/>
    <col min="16135" max="16135" width="14.375" style="55" bestFit="1" customWidth="1"/>
    <col min="16136" max="16136" width="9" style="55" customWidth="1"/>
    <col min="16137" max="16137" width="38.5" style="55" bestFit="1" customWidth="1"/>
    <col min="16138" max="16138" width="39.375" style="55" customWidth="1"/>
    <col min="16139" max="16139" width="19.875" style="55" bestFit="1" customWidth="1"/>
    <col min="16140" max="16384" width="9" style="55"/>
  </cols>
  <sheetData>
    <row r="1" spans="1:12" ht="17.25">
      <c r="A1" s="37" t="s">
        <v>945</v>
      </c>
    </row>
    <row r="2" spans="1:12" s="58" customFormat="1" ht="27">
      <c r="A2" s="57" t="s">
        <v>343</v>
      </c>
      <c r="B2" s="57" t="s">
        <v>430</v>
      </c>
      <c r="C2" s="57" t="s">
        <v>345</v>
      </c>
      <c r="D2" s="57" t="s">
        <v>1164</v>
      </c>
      <c r="E2" s="57" t="s">
        <v>993</v>
      </c>
      <c r="F2" s="128" t="s">
        <v>994</v>
      </c>
      <c r="G2" s="128" t="s">
        <v>995</v>
      </c>
      <c r="H2" s="128" t="s">
        <v>592</v>
      </c>
      <c r="I2" s="128" t="s">
        <v>675</v>
      </c>
      <c r="J2" s="128" t="s">
        <v>588</v>
      </c>
      <c r="K2" s="129" t="s">
        <v>946</v>
      </c>
      <c r="L2" s="57" t="s">
        <v>826</v>
      </c>
    </row>
    <row r="3" spans="1:12" s="59" customFormat="1" ht="300">
      <c r="A3" s="69" t="s">
        <v>1528</v>
      </c>
      <c r="B3" s="69" t="s">
        <v>912</v>
      </c>
      <c r="C3" s="70" t="s">
        <v>632</v>
      </c>
      <c r="D3" s="97" t="s">
        <v>406</v>
      </c>
      <c r="E3" s="69">
        <v>10031</v>
      </c>
      <c r="F3" s="69">
        <v>11031</v>
      </c>
      <c r="G3" s="97">
        <v>20011</v>
      </c>
      <c r="H3" s="71" t="s">
        <v>260</v>
      </c>
      <c r="I3" s="69" t="s">
        <v>1116</v>
      </c>
      <c r="J3" s="70" t="s">
        <v>344</v>
      </c>
      <c r="K3" s="396" t="s">
        <v>5</v>
      </c>
      <c r="L3" s="73"/>
    </row>
    <row r="4" spans="1:12" s="59" customFormat="1" ht="24">
      <c r="A4" s="69" t="s">
        <v>804</v>
      </c>
      <c r="B4" s="69" t="s">
        <v>912</v>
      </c>
      <c r="C4" s="97" t="s">
        <v>632</v>
      </c>
      <c r="D4" s="69" t="s">
        <v>989</v>
      </c>
      <c r="E4" s="69">
        <v>10032</v>
      </c>
      <c r="F4" s="69">
        <v>11032</v>
      </c>
      <c r="G4" s="97">
        <v>20011</v>
      </c>
      <c r="H4" s="71" t="s">
        <v>242</v>
      </c>
      <c r="I4" s="69" t="s">
        <v>1117</v>
      </c>
      <c r="J4" s="70" t="s">
        <v>344</v>
      </c>
      <c r="K4" s="397"/>
      <c r="L4" s="73"/>
    </row>
    <row r="5" spans="1:12" s="59" customFormat="1" ht="24">
      <c r="A5" s="69" t="s">
        <v>804</v>
      </c>
      <c r="B5" s="69" t="s">
        <v>912</v>
      </c>
      <c r="C5" s="97" t="s">
        <v>1171</v>
      </c>
      <c r="D5" s="69" t="s">
        <v>1172</v>
      </c>
      <c r="E5" s="69">
        <v>10034</v>
      </c>
      <c r="F5" s="69">
        <v>11034</v>
      </c>
      <c r="G5" s="97">
        <v>20011</v>
      </c>
      <c r="H5" s="72" t="s">
        <v>1186</v>
      </c>
      <c r="I5" s="69" t="s">
        <v>1173</v>
      </c>
      <c r="J5" s="97" t="s">
        <v>344</v>
      </c>
      <c r="K5" s="397"/>
      <c r="L5" s="97"/>
    </row>
    <row r="6" spans="1:12" s="59" customFormat="1" ht="24">
      <c r="A6" s="69" t="s">
        <v>804</v>
      </c>
      <c r="B6" s="69" t="s">
        <v>912</v>
      </c>
      <c r="C6" s="97" t="s">
        <v>632</v>
      </c>
      <c r="D6" s="69" t="s">
        <v>1098</v>
      </c>
      <c r="E6" s="69">
        <v>10035</v>
      </c>
      <c r="F6" s="69">
        <v>11035</v>
      </c>
      <c r="G6" s="97">
        <v>20011</v>
      </c>
      <c r="H6" s="72" t="s">
        <v>1083</v>
      </c>
      <c r="I6" s="69" t="s">
        <v>1118</v>
      </c>
      <c r="J6" s="97" t="s">
        <v>344</v>
      </c>
      <c r="K6" s="398"/>
      <c r="L6" s="73"/>
    </row>
    <row r="7" spans="1:12" s="59" customFormat="1" ht="96">
      <c r="A7" s="69" t="s">
        <v>804</v>
      </c>
      <c r="B7" s="69" t="s">
        <v>913</v>
      </c>
      <c r="C7" s="97" t="s">
        <v>632</v>
      </c>
      <c r="D7" s="69" t="s">
        <v>988</v>
      </c>
      <c r="E7" s="69">
        <v>10141</v>
      </c>
      <c r="F7" s="69">
        <v>11141</v>
      </c>
      <c r="G7" s="97">
        <v>20111</v>
      </c>
      <c r="H7" s="71" t="s">
        <v>1101</v>
      </c>
      <c r="I7" s="69" t="s">
        <v>1099</v>
      </c>
      <c r="J7" s="70" t="s">
        <v>344</v>
      </c>
      <c r="K7" s="69" t="s">
        <v>1530</v>
      </c>
      <c r="L7" s="73"/>
    </row>
    <row r="8" spans="1:12" s="59" customFormat="1" ht="168">
      <c r="A8" s="332" t="s">
        <v>1627</v>
      </c>
      <c r="B8" s="332" t="s">
        <v>914</v>
      </c>
      <c r="C8" s="333" t="s">
        <v>632</v>
      </c>
      <c r="D8" s="333" t="s">
        <v>680</v>
      </c>
      <c r="E8" s="344">
        <v>10231</v>
      </c>
      <c r="F8" s="344">
        <v>11231</v>
      </c>
      <c r="G8" s="333">
        <v>20211</v>
      </c>
      <c r="H8" s="345" t="s">
        <v>1684</v>
      </c>
      <c r="I8" s="344" t="s">
        <v>1685</v>
      </c>
      <c r="J8" s="333" t="s">
        <v>344</v>
      </c>
      <c r="K8" s="394" t="s">
        <v>1531</v>
      </c>
      <c r="L8" s="73"/>
    </row>
    <row r="9" spans="1:12" s="59" customFormat="1" ht="48">
      <c r="A9" s="69" t="s">
        <v>1626</v>
      </c>
      <c r="B9" s="69" t="s">
        <v>914</v>
      </c>
      <c r="C9" s="97" t="s">
        <v>632</v>
      </c>
      <c r="D9" s="97" t="s">
        <v>1166</v>
      </c>
      <c r="E9" s="187">
        <v>10232</v>
      </c>
      <c r="F9" s="187">
        <v>11232</v>
      </c>
      <c r="G9" s="97">
        <v>20011</v>
      </c>
      <c r="H9" s="341" t="s">
        <v>1636</v>
      </c>
      <c r="I9" s="187" t="s">
        <v>1637</v>
      </c>
      <c r="J9" s="97" t="s">
        <v>344</v>
      </c>
      <c r="K9" s="395"/>
      <c r="L9" s="73"/>
    </row>
    <row r="10" spans="1:12" s="59" customFormat="1" ht="24">
      <c r="A10" s="130" t="s">
        <v>804</v>
      </c>
      <c r="B10" s="69" t="s">
        <v>914</v>
      </c>
      <c r="C10" s="97" t="s">
        <v>632</v>
      </c>
      <c r="D10" s="97" t="s">
        <v>679</v>
      </c>
      <c r="E10" s="187">
        <v>10233</v>
      </c>
      <c r="F10" s="187">
        <v>11233</v>
      </c>
      <c r="G10" s="97">
        <v>20011</v>
      </c>
      <c r="H10" s="72" t="s">
        <v>1516</v>
      </c>
      <c r="I10" s="69" t="s">
        <v>1119</v>
      </c>
      <c r="J10" s="97" t="s">
        <v>344</v>
      </c>
      <c r="K10" s="395"/>
      <c r="L10" s="73"/>
    </row>
    <row r="11" spans="1:12" s="59" customFormat="1" ht="24">
      <c r="A11" s="130" t="s">
        <v>804</v>
      </c>
      <c r="B11" s="69" t="s">
        <v>914</v>
      </c>
      <c r="C11" s="97" t="s">
        <v>632</v>
      </c>
      <c r="D11" s="97" t="s">
        <v>409</v>
      </c>
      <c r="E11" s="69">
        <v>10234</v>
      </c>
      <c r="F11" s="69">
        <v>11234</v>
      </c>
      <c r="G11" s="97">
        <v>20211</v>
      </c>
      <c r="H11" s="72" t="s">
        <v>175</v>
      </c>
      <c r="I11" s="69" t="s">
        <v>1120</v>
      </c>
      <c r="J11" s="97" t="s">
        <v>344</v>
      </c>
      <c r="K11" s="395"/>
      <c r="L11" s="73"/>
    </row>
    <row r="12" spans="1:12" s="59" customFormat="1" ht="24">
      <c r="A12" s="130" t="s">
        <v>804</v>
      </c>
      <c r="B12" s="69" t="s">
        <v>914</v>
      </c>
      <c r="C12" s="97" t="s">
        <v>632</v>
      </c>
      <c r="D12" s="97" t="s">
        <v>362</v>
      </c>
      <c r="E12" s="69">
        <v>10235</v>
      </c>
      <c r="F12" s="69">
        <v>11235</v>
      </c>
      <c r="G12" s="97">
        <v>20211</v>
      </c>
      <c r="H12" s="72" t="s">
        <v>306</v>
      </c>
      <c r="I12" s="69" t="s">
        <v>1121</v>
      </c>
      <c r="J12" s="97" t="s">
        <v>344</v>
      </c>
      <c r="K12" s="395"/>
      <c r="L12" s="73"/>
    </row>
    <row r="13" spans="1:12" s="59" customFormat="1" ht="24">
      <c r="A13" s="130" t="s">
        <v>804</v>
      </c>
      <c r="B13" s="69" t="s">
        <v>914</v>
      </c>
      <c r="C13" s="97" t="s">
        <v>632</v>
      </c>
      <c r="D13" s="69" t="s">
        <v>990</v>
      </c>
      <c r="E13" s="69">
        <v>10236</v>
      </c>
      <c r="F13" s="69">
        <v>11236</v>
      </c>
      <c r="G13" s="69">
        <v>20211</v>
      </c>
      <c r="H13" s="72" t="s">
        <v>1517</v>
      </c>
      <c r="I13" s="69" t="s">
        <v>1122</v>
      </c>
      <c r="J13" s="97" t="s">
        <v>344</v>
      </c>
      <c r="K13" s="395"/>
      <c r="L13" s="73"/>
    </row>
    <row r="14" spans="1:12" s="59" customFormat="1" ht="84">
      <c r="A14" s="69" t="s">
        <v>804</v>
      </c>
      <c r="B14" s="69" t="s">
        <v>915</v>
      </c>
      <c r="C14" s="97" t="s">
        <v>632</v>
      </c>
      <c r="D14" s="97" t="s">
        <v>400</v>
      </c>
      <c r="E14" s="69">
        <v>10398</v>
      </c>
      <c r="F14" s="69">
        <v>11398</v>
      </c>
      <c r="G14" s="69">
        <v>20311</v>
      </c>
      <c r="H14" s="72" t="s">
        <v>688</v>
      </c>
      <c r="I14" s="69" t="s">
        <v>1123</v>
      </c>
      <c r="J14" s="97" t="s">
        <v>344</v>
      </c>
      <c r="K14" s="69" t="s">
        <v>1532</v>
      </c>
      <c r="L14" s="73"/>
    </row>
    <row r="15" spans="1:12" s="59" customFormat="1" ht="24">
      <c r="A15" s="69" t="s">
        <v>804</v>
      </c>
      <c r="B15" s="69" t="s">
        <v>1640</v>
      </c>
      <c r="C15" s="97" t="s">
        <v>632</v>
      </c>
      <c r="D15" s="97" t="s">
        <v>355</v>
      </c>
      <c r="E15" s="69">
        <v>10451</v>
      </c>
      <c r="F15" s="69">
        <v>11451</v>
      </c>
      <c r="G15" s="97">
        <v>20411</v>
      </c>
      <c r="H15" s="72" t="s">
        <v>1644</v>
      </c>
      <c r="I15" s="69" t="s">
        <v>1645</v>
      </c>
      <c r="J15" s="97" t="s">
        <v>344</v>
      </c>
      <c r="K15" s="392" t="s">
        <v>1628</v>
      </c>
      <c r="L15" s="73" t="s">
        <v>1646</v>
      </c>
    </row>
    <row r="16" spans="1:12" s="59" customFormat="1" ht="24">
      <c r="A16" s="69" t="s">
        <v>804</v>
      </c>
      <c r="B16" s="69" t="s">
        <v>1640</v>
      </c>
      <c r="C16" s="97" t="s">
        <v>632</v>
      </c>
      <c r="D16" s="97" t="s">
        <v>1641</v>
      </c>
      <c r="E16" s="69">
        <v>10450</v>
      </c>
      <c r="F16" s="69">
        <v>11450</v>
      </c>
      <c r="G16" s="97">
        <v>20411</v>
      </c>
      <c r="H16" s="72" t="s">
        <v>1642</v>
      </c>
      <c r="I16" s="69" t="s">
        <v>1643</v>
      </c>
      <c r="J16" s="97" t="s">
        <v>344</v>
      </c>
      <c r="K16" s="392"/>
      <c r="L16" s="73"/>
    </row>
    <row r="17" spans="1:12" s="59" customFormat="1" ht="24">
      <c r="A17" s="69" t="s">
        <v>804</v>
      </c>
      <c r="B17" s="69" t="s">
        <v>1640</v>
      </c>
      <c r="C17" s="97" t="s">
        <v>632</v>
      </c>
      <c r="D17" s="97" t="s">
        <v>377</v>
      </c>
      <c r="E17" s="69">
        <v>10452</v>
      </c>
      <c r="F17" s="69">
        <v>11452</v>
      </c>
      <c r="G17" s="97">
        <v>20411</v>
      </c>
      <c r="H17" s="72" t="s">
        <v>785</v>
      </c>
      <c r="I17" s="69" t="s">
        <v>871</v>
      </c>
      <c r="J17" s="70" t="s">
        <v>344</v>
      </c>
      <c r="K17" s="392"/>
      <c r="L17" s="73"/>
    </row>
    <row r="18" spans="1:12" s="59" customFormat="1" ht="24">
      <c r="A18" s="69" t="s">
        <v>804</v>
      </c>
      <c r="B18" s="69" t="s">
        <v>1640</v>
      </c>
      <c r="C18" s="97" t="s">
        <v>632</v>
      </c>
      <c r="D18" s="97" t="s">
        <v>356</v>
      </c>
      <c r="E18" s="69">
        <v>10453</v>
      </c>
      <c r="F18" s="69">
        <v>11453</v>
      </c>
      <c r="G18" s="97">
        <v>20411</v>
      </c>
      <c r="H18" s="71" t="s">
        <v>599</v>
      </c>
      <c r="I18" s="69" t="s">
        <v>629</v>
      </c>
      <c r="J18" s="70" t="s">
        <v>344</v>
      </c>
      <c r="K18" s="392"/>
      <c r="L18" s="73"/>
    </row>
    <row r="19" spans="1:12" s="59" customFormat="1" ht="24">
      <c r="A19" s="69" t="s">
        <v>804</v>
      </c>
      <c r="B19" s="69" t="s">
        <v>1640</v>
      </c>
      <c r="C19" s="97" t="s">
        <v>632</v>
      </c>
      <c r="D19" s="97" t="s">
        <v>682</v>
      </c>
      <c r="E19" s="69">
        <v>10454</v>
      </c>
      <c r="F19" s="69">
        <v>11454</v>
      </c>
      <c r="G19" s="97">
        <v>20411</v>
      </c>
      <c r="H19" s="72" t="s">
        <v>681</v>
      </c>
      <c r="I19" s="69" t="s">
        <v>789</v>
      </c>
      <c r="J19" s="70" t="s">
        <v>344</v>
      </c>
      <c r="K19" s="392"/>
      <c r="L19" s="73"/>
    </row>
    <row r="20" spans="1:12" s="59" customFormat="1" ht="60">
      <c r="A20" s="69" t="s">
        <v>1522</v>
      </c>
      <c r="B20" s="69" t="s">
        <v>1640</v>
      </c>
      <c r="C20" s="97" t="s">
        <v>632</v>
      </c>
      <c r="D20" s="69" t="s">
        <v>991</v>
      </c>
      <c r="E20" s="69">
        <v>10455</v>
      </c>
      <c r="F20" s="69">
        <v>11455</v>
      </c>
      <c r="G20" s="97">
        <v>20411</v>
      </c>
      <c r="H20" s="72" t="s">
        <v>1638</v>
      </c>
      <c r="I20" s="69" t="s">
        <v>1639</v>
      </c>
      <c r="J20" s="70" t="s">
        <v>344</v>
      </c>
      <c r="K20" s="393"/>
      <c r="L20" s="73"/>
    </row>
    <row r="21" spans="1:12" s="273" customFormat="1" ht="72">
      <c r="A21" s="359" t="s">
        <v>1529</v>
      </c>
      <c r="B21" s="359" t="s">
        <v>1524</v>
      </c>
      <c r="C21" s="359" t="s">
        <v>1171</v>
      </c>
      <c r="D21" s="360" t="s">
        <v>1519</v>
      </c>
      <c r="E21" s="361">
        <v>10316</v>
      </c>
      <c r="F21" s="361">
        <v>11316</v>
      </c>
      <c r="G21" s="362">
        <v>20411</v>
      </c>
      <c r="H21" s="363" t="s">
        <v>1686</v>
      </c>
      <c r="I21" s="364" t="s">
        <v>1687</v>
      </c>
      <c r="J21" s="333" t="s">
        <v>344</v>
      </c>
      <c r="K21" s="274" t="s">
        <v>1629</v>
      </c>
      <c r="L21" s="272" t="s">
        <v>1520</v>
      </c>
    </row>
  </sheetData>
  <autoFilter ref="A2:L20"/>
  <mergeCells count="3">
    <mergeCell ref="K15:K20"/>
    <mergeCell ref="K8:K13"/>
    <mergeCell ref="K3:K6"/>
  </mergeCells>
  <phoneticPr fontId="29" type="noConversion"/>
  <pageMargins left="0.69972223043441772" right="0.69972223043441772" top="0.75" bottom="0.75" header="0.30000001192092896" footer="0.30000001192092896"/>
  <pageSetup paperSize="9" orientation="portrait"/>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53"/>
  <sheetViews>
    <sheetView topLeftCell="A10" zoomScale="160" zoomScaleNormal="160" zoomScaleSheetLayoutView="75" workbookViewId="0">
      <selection activeCell="A10" sqref="A10"/>
    </sheetView>
  </sheetViews>
  <sheetFormatPr defaultRowHeight="12.75"/>
  <cols>
    <col min="1" max="1" width="22.125" style="318" customWidth="1"/>
    <col min="2" max="2" width="4.5" style="318" bestFit="1" customWidth="1"/>
    <col min="3" max="3" width="10.5" style="318" bestFit="1" customWidth="1"/>
    <col min="4" max="4" width="5.625" style="319" customWidth="1"/>
    <col min="5" max="5" width="22.5" style="318" bestFit="1" customWidth="1"/>
    <col min="6" max="6" width="8.5" style="320" bestFit="1" customWidth="1"/>
    <col min="7" max="7" width="2.25" style="318" customWidth="1"/>
    <col min="8" max="8" width="19" style="318" bestFit="1" customWidth="1"/>
    <col min="9" max="9" width="4.5" style="318" bestFit="1" customWidth="1"/>
    <col min="10" max="10" width="10.5" style="318" bestFit="1" customWidth="1"/>
    <col min="11" max="11" width="4.5" style="318" bestFit="1" customWidth="1"/>
    <col min="12" max="12" width="20.375" style="318" bestFit="1" customWidth="1"/>
    <col min="13" max="13" width="8.5" style="318" bestFit="1" customWidth="1"/>
    <col min="14" max="249" width="9" style="318"/>
    <col min="250" max="250" width="19.25" style="318" bestFit="1" customWidth="1"/>
    <col min="251" max="253" width="9" style="318"/>
    <col min="254" max="254" width="20.625" style="318" bestFit="1" customWidth="1"/>
    <col min="255" max="255" width="9" style="318"/>
    <col min="256" max="256" width="2.25" style="318" customWidth="1"/>
    <col min="257" max="257" width="17.375" style="318" customWidth="1"/>
    <col min="258" max="260" width="9" style="318"/>
    <col min="261" max="261" width="20.625" style="318" bestFit="1" customWidth="1"/>
    <col min="262" max="505" width="9" style="318"/>
    <col min="506" max="506" width="19.25" style="318" bestFit="1" customWidth="1"/>
    <col min="507" max="509" width="9" style="318"/>
    <col min="510" max="510" width="20.625" style="318" bestFit="1" customWidth="1"/>
    <col min="511" max="511" width="9" style="318"/>
    <col min="512" max="512" width="2.25" style="318" customWidth="1"/>
    <col min="513" max="513" width="17.375" style="318" customWidth="1"/>
    <col min="514" max="516" width="9" style="318"/>
    <col min="517" max="517" width="20.625" style="318" bestFit="1" customWidth="1"/>
    <col min="518" max="761" width="9" style="318"/>
    <col min="762" max="762" width="19.25" style="318" bestFit="1" customWidth="1"/>
    <col min="763" max="765" width="9" style="318"/>
    <col min="766" max="766" width="20.625" style="318" bestFit="1" customWidth="1"/>
    <col min="767" max="767" width="9" style="318"/>
    <col min="768" max="768" width="2.25" style="318" customWidth="1"/>
    <col min="769" max="769" width="17.375" style="318" customWidth="1"/>
    <col min="770" max="772" width="9" style="318"/>
    <col min="773" max="773" width="20.625" style="318" bestFit="1" customWidth="1"/>
    <col min="774" max="1017" width="9" style="318"/>
    <col min="1018" max="1018" width="19.25" style="318" bestFit="1" customWidth="1"/>
    <col min="1019" max="1021" width="9" style="318"/>
    <col min="1022" max="1022" width="20.625" style="318" bestFit="1" customWidth="1"/>
    <col min="1023" max="1023" width="9" style="318"/>
    <col min="1024" max="1024" width="2.25" style="318" customWidth="1"/>
    <col min="1025" max="1025" width="17.375" style="318" customWidth="1"/>
    <col min="1026" max="1028" width="9" style="318"/>
    <col min="1029" max="1029" width="20.625" style="318" bestFit="1" customWidth="1"/>
    <col min="1030" max="1273" width="9" style="318"/>
    <col min="1274" max="1274" width="19.25" style="318" bestFit="1" customWidth="1"/>
    <col min="1275" max="1277" width="9" style="318"/>
    <col min="1278" max="1278" width="20.625" style="318" bestFit="1" customWidth="1"/>
    <col min="1279" max="1279" width="9" style="318"/>
    <col min="1280" max="1280" width="2.25" style="318" customWidth="1"/>
    <col min="1281" max="1281" width="17.375" style="318" customWidth="1"/>
    <col min="1282" max="1284" width="9" style="318"/>
    <col min="1285" max="1285" width="20.625" style="318" bestFit="1" customWidth="1"/>
    <col min="1286" max="1529" width="9" style="318"/>
    <col min="1530" max="1530" width="19.25" style="318" bestFit="1" customWidth="1"/>
    <col min="1531" max="1533" width="9" style="318"/>
    <col min="1534" max="1534" width="20.625" style="318" bestFit="1" customWidth="1"/>
    <col min="1535" max="1535" width="9" style="318"/>
    <col min="1536" max="1536" width="2.25" style="318" customWidth="1"/>
    <col min="1537" max="1537" width="17.375" style="318" customWidth="1"/>
    <col min="1538" max="1540" width="9" style="318"/>
    <col min="1541" max="1541" width="20.625" style="318" bestFit="1" customWidth="1"/>
    <col min="1542" max="1785" width="9" style="318"/>
    <col min="1786" max="1786" width="19.25" style="318" bestFit="1" customWidth="1"/>
    <col min="1787" max="1789" width="9" style="318"/>
    <col min="1790" max="1790" width="20.625" style="318" bestFit="1" customWidth="1"/>
    <col min="1791" max="1791" width="9" style="318"/>
    <col min="1792" max="1792" width="2.25" style="318" customWidth="1"/>
    <col min="1793" max="1793" width="17.375" style="318" customWidth="1"/>
    <col min="1794" max="1796" width="9" style="318"/>
    <col min="1797" max="1797" width="20.625" style="318" bestFit="1" customWidth="1"/>
    <col min="1798" max="2041" width="9" style="318"/>
    <col min="2042" max="2042" width="19.25" style="318" bestFit="1" customWidth="1"/>
    <col min="2043" max="2045" width="9" style="318"/>
    <col min="2046" max="2046" width="20.625" style="318" bestFit="1" customWidth="1"/>
    <col min="2047" max="2047" width="9" style="318"/>
    <col min="2048" max="2048" width="2.25" style="318" customWidth="1"/>
    <col min="2049" max="2049" width="17.375" style="318" customWidth="1"/>
    <col min="2050" max="2052" width="9" style="318"/>
    <col min="2053" max="2053" width="20.625" style="318" bestFit="1" customWidth="1"/>
    <col min="2054" max="2297" width="9" style="318"/>
    <col min="2298" max="2298" width="19.25" style="318" bestFit="1" customWidth="1"/>
    <col min="2299" max="2301" width="9" style="318"/>
    <col min="2302" max="2302" width="20.625" style="318" bestFit="1" customWidth="1"/>
    <col min="2303" max="2303" width="9" style="318"/>
    <col min="2304" max="2304" width="2.25" style="318" customWidth="1"/>
    <col min="2305" max="2305" width="17.375" style="318" customWidth="1"/>
    <col min="2306" max="2308" width="9" style="318"/>
    <col min="2309" max="2309" width="20.625" style="318" bestFit="1" customWidth="1"/>
    <col min="2310" max="2553" width="9" style="318"/>
    <col min="2554" max="2554" width="19.25" style="318" bestFit="1" customWidth="1"/>
    <col min="2555" max="2557" width="9" style="318"/>
    <col min="2558" max="2558" width="20.625" style="318" bestFit="1" customWidth="1"/>
    <col min="2559" max="2559" width="9" style="318"/>
    <col min="2560" max="2560" width="2.25" style="318" customWidth="1"/>
    <col min="2561" max="2561" width="17.375" style="318" customWidth="1"/>
    <col min="2562" max="2564" width="9" style="318"/>
    <col min="2565" max="2565" width="20.625" style="318" bestFit="1" customWidth="1"/>
    <col min="2566" max="2809" width="9" style="318"/>
    <col min="2810" max="2810" width="19.25" style="318" bestFit="1" customWidth="1"/>
    <col min="2811" max="2813" width="9" style="318"/>
    <col min="2814" max="2814" width="20.625" style="318" bestFit="1" customWidth="1"/>
    <col min="2815" max="2815" width="9" style="318"/>
    <col min="2816" max="2816" width="2.25" style="318" customWidth="1"/>
    <col min="2817" max="2817" width="17.375" style="318" customWidth="1"/>
    <col min="2818" max="2820" width="9" style="318"/>
    <col min="2821" max="2821" width="20.625" style="318" bestFit="1" customWidth="1"/>
    <col min="2822" max="3065" width="9" style="318"/>
    <col min="3066" max="3066" width="19.25" style="318" bestFit="1" customWidth="1"/>
    <col min="3067" max="3069" width="9" style="318"/>
    <col min="3070" max="3070" width="20.625" style="318" bestFit="1" customWidth="1"/>
    <col min="3071" max="3071" width="9" style="318"/>
    <col min="3072" max="3072" width="2.25" style="318" customWidth="1"/>
    <col min="3073" max="3073" width="17.375" style="318" customWidth="1"/>
    <col min="3074" max="3076" width="9" style="318"/>
    <col min="3077" max="3077" width="20.625" style="318" bestFit="1" customWidth="1"/>
    <col min="3078" max="3321" width="9" style="318"/>
    <col min="3322" max="3322" width="19.25" style="318" bestFit="1" customWidth="1"/>
    <col min="3323" max="3325" width="9" style="318"/>
    <col min="3326" max="3326" width="20.625" style="318" bestFit="1" customWidth="1"/>
    <col min="3327" max="3327" width="9" style="318"/>
    <col min="3328" max="3328" width="2.25" style="318" customWidth="1"/>
    <col min="3329" max="3329" width="17.375" style="318" customWidth="1"/>
    <col min="3330" max="3332" width="9" style="318"/>
    <col min="3333" max="3333" width="20.625" style="318" bestFit="1" customWidth="1"/>
    <col min="3334" max="3577" width="9" style="318"/>
    <col min="3578" max="3578" width="19.25" style="318" bestFit="1" customWidth="1"/>
    <col min="3579" max="3581" width="9" style="318"/>
    <col min="3582" max="3582" width="20.625" style="318" bestFit="1" customWidth="1"/>
    <col min="3583" max="3583" width="9" style="318"/>
    <col min="3584" max="3584" width="2.25" style="318" customWidth="1"/>
    <col min="3585" max="3585" width="17.375" style="318" customWidth="1"/>
    <col min="3586" max="3588" width="9" style="318"/>
    <col min="3589" max="3589" width="20.625" style="318" bestFit="1" customWidth="1"/>
    <col min="3590" max="3833" width="9" style="318"/>
    <col min="3834" max="3834" width="19.25" style="318" bestFit="1" customWidth="1"/>
    <col min="3835" max="3837" width="9" style="318"/>
    <col min="3838" max="3838" width="20.625" style="318" bestFit="1" customWidth="1"/>
    <col min="3839" max="3839" width="9" style="318"/>
    <col min="3840" max="3840" width="2.25" style="318" customWidth="1"/>
    <col min="3841" max="3841" width="17.375" style="318" customWidth="1"/>
    <col min="3842" max="3844" width="9" style="318"/>
    <col min="3845" max="3845" width="20.625" style="318" bestFit="1" customWidth="1"/>
    <col min="3846" max="4089" width="9" style="318"/>
    <col min="4090" max="4090" width="19.25" style="318" bestFit="1" customWidth="1"/>
    <col min="4091" max="4093" width="9" style="318"/>
    <col min="4094" max="4094" width="20.625" style="318" bestFit="1" customWidth="1"/>
    <col min="4095" max="4095" width="9" style="318"/>
    <col min="4096" max="4096" width="2.25" style="318" customWidth="1"/>
    <col min="4097" max="4097" width="17.375" style="318" customWidth="1"/>
    <col min="4098" max="4100" width="9" style="318"/>
    <col min="4101" max="4101" width="20.625" style="318" bestFit="1" customWidth="1"/>
    <col min="4102" max="4345" width="9" style="318"/>
    <col min="4346" max="4346" width="19.25" style="318" bestFit="1" customWidth="1"/>
    <col min="4347" max="4349" width="9" style="318"/>
    <col min="4350" max="4350" width="20.625" style="318" bestFit="1" customWidth="1"/>
    <col min="4351" max="4351" width="9" style="318"/>
    <col min="4352" max="4352" width="2.25" style="318" customWidth="1"/>
    <col min="4353" max="4353" width="17.375" style="318" customWidth="1"/>
    <col min="4354" max="4356" width="9" style="318"/>
    <col min="4357" max="4357" width="20.625" style="318" bestFit="1" customWidth="1"/>
    <col min="4358" max="4601" width="9" style="318"/>
    <col min="4602" max="4602" width="19.25" style="318" bestFit="1" customWidth="1"/>
    <col min="4603" max="4605" width="9" style="318"/>
    <col min="4606" max="4606" width="20.625" style="318" bestFit="1" customWidth="1"/>
    <col min="4607" max="4607" width="9" style="318"/>
    <col min="4608" max="4608" width="2.25" style="318" customWidth="1"/>
    <col min="4609" max="4609" width="17.375" style="318" customWidth="1"/>
    <col min="4610" max="4612" width="9" style="318"/>
    <col min="4613" max="4613" width="20.625" style="318" bestFit="1" customWidth="1"/>
    <col min="4614" max="4857" width="9" style="318"/>
    <col min="4858" max="4858" width="19.25" style="318" bestFit="1" customWidth="1"/>
    <col min="4859" max="4861" width="9" style="318"/>
    <col min="4862" max="4862" width="20.625" style="318" bestFit="1" customWidth="1"/>
    <col min="4863" max="4863" width="9" style="318"/>
    <col min="4864" max="4864" width="2.25" style="318" customWidth="1"/>
    <col min="4865" max="4865" width="17.375" style="318" customWidth="1"/>
    <col min="4866" max="4868" width="9" style="318"/>
    <col min="4869" max="4869" width="20.625" style="318" bestFit="1" customWidth="1"/>
    <col min="4870" max="5113" width="9" style="318"/>
    <col min="5114" max="5114" width="19.25" style="318" bestFit="1" customWidth="1"/>
    <col min="5115" max="5117" width="9" style="318"/>
    <col min="5118" max="5118" width="20.625" style="318" bestFit="1" customWidth="1"/>
    <col min="5119" max="5119" width="9" style="318"/>
    <col min="5120" max="5120" width="2.25" style="318" customWidth="1"/>
    <col min="5121" max="5121" width="17.375" style="318" customWidth="1"/>
    <col min="5122" max="5124" width="9" style="318"/>
    <col min="5125" max="5125" width="20.625" style="318" bestFit="1" customWidth="1"/>
    <col min="5126" max="5369" width="9" style="318"/>
    <col min="5370" max="5370" width="19.25" style="318" bestFit="1" customWidth="1"/>
    <col min="5371" max="5373" width="9" style="318"/>
    <col min="5374" max="5374" width="20.625" style="318" bestFit="1" customWidth="1"/>
    <col min="5375" max="5375" width="9" style="318"/>
    <col min="5376" max="5376" width="2.25" style="318" customWidth="1"/>
    <col min="5377" max="5377" width="17.375" style="318" customWidth="1"/>
    <col min="5378" max="5380" width="9" style="318"/>
    <col min="5381" max="5381" width="20.625" style="318" bestFit="1" customWidth="1"/>
    <col min="5382" max="5625" width="9" style="318"/>
    <col min="5626" max="5626" width="19.25" style="318" bestFit="1" customWidth="1"/>
    <col min="5627" max="5629" width="9" style="318"/>
    <col min="5630" max="5630" width="20.625" style="318" bestFit="1" customWidth="1"/>
    <col min="5631" max="5631" width="9" style="318"/>
    <col min="5632" max="5632" width="2.25" style="318" customWidth="1"/>
    <col min="5633" max="5633" width="17.375" style="318" customWidth="1"/>
    <col min="5634" max="5636" width="9" style="318"/>
    <col min="5637" max="5637" width="20.625" style="318" bestFit="1" customWidth="1"/>
    <col min="5638" max="5881" width="9" style="318"/>
    <col min="5882" max="5882" width="19.25" style="318" bestFit="1" customWidth="1"/>
    <col min="5883" max="5885" width="9" style="318"/>
    <col min="5886" max="5886" width="20.625" style="318" bestFit="1" customWidth="1"/>
    <col min="5887" max="5887" width="9" style="318"/>
    <col min="5888" max="5888" width="2.25" style="318" customWidth="1"/>
    <col min="5889" max="5889" width="17.375" style="318" customWidth="1"/>
    <col min="5890" max="5892" width="9" style="318"/>
    <col min="5893" max="5893" width="20.625" style="318" bestFit="1" customWidth="1"/>
    <col min="5894" max="6137" width="9" style="318"/>
    <col min="6138" max="6138" width="19.25" style="318" bestFit="1" customWidth="1"/>
    <col min="6139" max="6141" width="9" style="318"/>
    <col min="6142" max="6142" width="20.625" style="318" bestFit="1" customWidth="1"/>
    <col min="6143" max="6143" width="9" style="318"/>
    <col min="6144" max="6144" width="2.25" style="318" customWidth="1"/>
    <col min="6145" max="6145" width="17.375" style="318" customWidth="1"/>
    <col min="6146" max="6148" width="9" style="318"/>
    <col min="6149" max="6149" width="20.625" style="318" bestFit="1" customWidth="1"/>
    <col min="6150" max="6393" width="9" style="318"/>
    <col min="6394" max="6394" width="19.25" style="318" bestFit="1" customWidth="1"/>
    <col min="6395" max="6397" width="9" style="318"/>
    <col min="6398" max="6398" width="20.625" style="318" bestFit="1" customWidth="1"/>
    <col min="6399" max="6399" width="9" style="318"/>
    <col min="6400" max="6400" width="2.25" style="318" customWidth="1"/>
    <col min="6401" max="6401" width="17.375" style="318" customWidth="1"/>
    <col min="6402" max="6404" width="9" style="318"/>
    <col min="6405" max="6405" width="20.625" style="318" bestFit="1" customWidth="1"/>
    <col min="6406" max="6649" width="9" style="318"/>
    <col min="6650" max="6650" width="19.25" style="318" bestFit="1" customWidth="1"/>
    <col min="6651" max="6653" width="9" style="318"/>
    <col min="6654" max="6654" width="20.625" style="318" bestFit="1" customWidth="1"/>
    <col min="6655" max="6655" width="9" style="318"/>
    <col min="6656" max="6656" width="2.25" style="318" customWidth="1"/>
    <col min="6657" max="6657" width="17.375" style="318" customWidth="1"/>
    <col min="6658" max="6660" width="9" style="318"/>
    <col min="6661" max="6661" width="20.625" style="318" bestFit="1" customWidth="1"/>
    <col min="6662" max="6905" width="9" style="318"/>
    <col min="6906" max="6906" width="19.25" style="318" bestFit="1" customWidth="1"/>
    <col min="6907" max="6909" width="9" style="318"/>
    <col min="6910" max="6910" width="20.625" style="318" bestFit="1" customWidth="1"/>
    <col min="6911" max="6911" width="9" style="318"/>
    <col min="6912" max="6912" width="2.25" style="318" customWidth="1"/>
    <col min="6913" max="6913" width="17.375" style="318" customWidth="1"/>
    <col min="6914" max="6916" width="9" style="318"/>
    <col min="6917" max="6917" width="20.625" style="318" bestFit="1" customWidth="1"/>
    <col min="6918" max="7161" width="9" style="318"/>
    <col min="7162" max="7162" width="19.25" style="318" bestFit="1" customWidth="1"/>
    <col min="7163" max="7165" width="9" style="318"/>
    <col min="7166" max="7166" width="20.625" style="318" bestFit="1" customWidth="1"/>
    <col min="7167" max="7167" width="9" style="318"/>
    <col min="7168" max="7168" width="2.25" style="318" customWidth="1"/>
    <col min="7169" max="7169" width="17.375" style="318" customWidth="1"/>
    <col min="7170" max="7172" width="9" style="318"/>
    <col min="7173" max="7173" width="20.625" style="318" bestFit="1" customWidth="1"/>
    <col min="7174" max="7417" width="9" style="318"/>
    <col min="7418" max="7418" width="19.25" style="318" bestFit="1" customWidth="1"/>
    <col min="7419" max="7421" width="9" style="318"/>
    <col min="7422" max="7422" width="20.625" style="318" bestFit="1" customWidth="1"/>
    <col min="7423" max="7423" width="9" style="318"/>
    <col min="7424" max="7424" width="2.25" style="318" customWidth="1"/>
    <col min="7425" max="7425" width="17.375" style="318" customWidth="1"/>
    <col min="7426" max="7428" width="9" style="318"/>
    <col min="7429" max="7429" width="20.625" style="318" bestFit="1" customWidth="1"/>
    <col min="7430" max="7673" width="9" style="318"/>
    <col min="7674" max="7674" width="19.25" style="318" bestFit="1" customWidth="1"/>
    <col min="7675" max="7677" width="9" style="318"/>
    <col min="7678" max="7678" width="20.625" style="318" bestFit="1" customWidth="1"/>
    <col min="7679" max="7679" width="9" style="318"/>
    <col min="7680" max="7680" width="2.25" style="318" customWidth="1"/>
    <col min="7681" max="7681" width="17.375" style="318" customWidth="1"/>
    <col min="7682" max="7684" width="9" style="318"/>
    <col min="7685" max="7685" width="20.625" style="318" bestFit="1" customWidth="1"/>
    <col min="7686" max="7929" width="9" style="318"/>
    <col min="7930" max="7930" width="19.25" style="318" bestFit="1" customWidth="1"/>
    <col min="7931" max="7933" width="9" style="318"/>
    <col min="7934" max="7934" width="20.625" style="318" bestFit="1" customWidth="1"/>
    <col min="7935" max="7935" width="9" style="318"/>
    <col min="7936" max="7936" width="2.25" style="318" customWidth="1"/>
    <col min="7937" max="7937" width="17.375" style="318" customWidth="1"/>
    <col min="7938" max="7940" width="9" style="318"/>
    <col min="7941" max="7941" width="20.625" style="318" bestFit="1" customWidth="1"/>
    <col min="7942" max="8185" width="9" style="318"/>
    <col min="8186" max="8186" width="19.25" style="318" bestFit="1" customWidth="1"/>
    <col min="8187" max="8189" width="9" style="318"/>
    <col min="8190" max="8190" width="20.625" style="318" bestFit="1" customWidth="1"/>
    <col min="8191" max="8191" width="9" style="318"/>
    <col min="8192" max="8192" width="2.25" style="318" customWidth="1"/>
    <col min="8193" max="8193" width="17.375" style="318" customWidth="1"/>
    <col min="8194" max="8196" width="9" style="318"/>
    <col min="8197" max="8197" width="20.625" style="318" bestFit="1" customWidth="1"/>
    <col min="8198" max="8441" width="9" style="318"/>
    <col min="8442" max="8442" width="19.25" style="318" bestFit="1" customWidth="1"/>
    <col min="8443" max="8445" width="9" style="318"/>
    <col min="8446" max="8446" width="20.625" style="318" bestFit="1" customWidth="1"/>
    <col min="8447" max="8447" width="9" style="318"/>
    <col min="8448" max="8448" width="2.25" style="318" customWidth="1"/>
    <col min="8449" max="8449" width="17.375" style="318" customWidth="1"/>
    <col min="8450" max="8452" width="9" style="318"/>
    <col min="8453" max="8453" width="20.625" style="318" bestFit="1" customWidth="1"/>
    <col min="8454" max="8697" width="9" style="318"/>
    <col min="8698" max="8698" width="19.25" style="318" bestFit="1" customWidth="1"/>
    <col min="8699" max="8701" width="9" style="318"/>
    <col min="8702" max="8702" width="20.625" style="318" bestFit="1" customWidth="1"/>
    <col min="8703" max="8703" width="9" style="318"/>
    <col min="8704" max="8704" width="2.25" style="318" customWidth="1"/>
    <col min="8705" max="8705" width="17.375" style="318" customWidth="1"/>
    <col min="8706" max="8708" width="9" style="318"/>
    <col min="8709" max="8709" width="20.625" style="318" bestFit="1" customWidth="1"/>
    <col min="8710" max="8953" width="9" style="318"/>
    <col min="8954" max="8954" width="19.25" style="318" bestFit="1" customWidth="1"/>
    <col min="8955" max="8957" width="9" style="318"/>
    <col min="8958" max="8958" width="20.625" style="318" bestFit="1" customWidth="1"/>
    <col min="8959" max="8959" width="9" style="318"/>
    <col min="8960" max="8960" width="2.25" style="318" customWidth="1"/>
    <col min="8961" max="8961" width="17.375" style="318" customWidth="1"/>
    <col min="8962" max="8964" width="9" style="318"/>
    <col min="8965" max="8965" width="20.625" style="318" bestFit="1" customWidth="1"/>
    <col min="8966" max="9209" width="9" style="318"/>
    <col min="9210" max="9210" width="19.25" style="318" bestFit="1" customWidth="1"/>
    <col min="9211" max="9213" width="9" style="318"/>
    <col min="9214" max="9214" width="20.625" style="318" bestFit="1" customWidth="1"/>
    <col min="9215" max="9215" width="9" style="318"/>
    <col min="9216" max="9216" width="2.25" style="318" customWidth="1"/>
    <col min="9217" max="9217" width="17.375" style="318" customWidth="1"/>
    <col min="9218" max="9220" width="9" style="318"/>
    <col min="9221" max="9221" width="20.625" style="318" bestFit="1" customWidth="1"/>
    <col min="9222" max="9465" width="9" style="318"/>
    <col min="9466" max="9466" width="19.25" style="318" bestFit="1" customWidth="1"/>
    <col min="9467" max="9469" width="9" style="318"/>
    <col min="9470" max="9470" width="20.625" style="318" bestFit="1" customWidth="1"/>
    <col min="9471" max="9471" width="9" style="318"/>
    <col min="9472" max="9472" width="2.25" style="318" customWidth="1"/>
    <col min="9473" max="9473" width="17.375" style="318" customWidth="1"/>
    <col min="9474" max="9476" width="9" style="318"/>
    <col min="9477" max="9477" width="20.625" style="318" bestFit="1" customWidth="1"/>
    <col min="9478" max="9721" width="9" style="318"/>
    <col min="9722" max="9722" width="19.25" style="318" bestFit="1" customWidth="1"/>
    <col min="9723" max="9725" width="9" style="318"/>
    <col min="9726" max="9726" width="20.625" style="318" bestFit="1" customWidth="1"/>
    <col min="9727" max="9727" width="9" style="318"/>
    <col min="9728" max="9728" width="2.25" style="318" customWidth="1"/>
    <col min="9729" max="9729" width="17.375" style="318" customWidth="1"/>
    <col min="9730" max="9732" width="9" style="318"/>
    <col min="9733" max="9733" width="20.625" style="318" bestFit="1" customWidth="1"/>
    <col min="9734" max="9977" width="9" style="318"/>
    <col min="9978" max="9978" width="19.25" style="318" bestFit="1" customWidth="1"/>
    <col min="9979" max="9981" width="9" style="318"/>
    <col min="9982" max="9982" width="20.625" style="318" bestFit="1" customWidth="1"/>
    <col min="9983" max="9983" width="9" style="318"/>
    <col min="9984" max="9984" width="2.25" style="318" customWidth="1"/>
    <col min="9985" max="9985" width="17.375" style="318" customWidth="1"/>
    <col min="9986" max="9988" width="9" style="318"/>
    <col min="9989" max="9989" width="20.625" style="318" bestFit="1" customWidth="1"/>
    <col min="9990" max="10233" width="9" style="318"/>
    <col min="10234" max="10234" width="19.25" style="318" bestFit="1" customWidth="1"/>
    <col min="10235" max="10237" width="9" style="318"/>
    <col min="10238" max="10238" width="20.625" style="318" bestFit="1" customWidth="1"/>
    <col min="10239" max="10239" width="9" style="318"/>
    <col min="10240" max="10240" width="2.25" style="318" customWidth="1"/>
    <col min="10241" max="10241" width="17.375" style="318" customWidth="1"/>
    <col min="10242" max="10244" width="9" style="318"/>
    <col min="10245" max="10245" width="20.625" style="318" bestFit="1" customWidth="1"/>
    <col min="10246" max="10489" width="9" style="318"/>
    <col min="10490" max="10490" width="19.25" style="318" bestFit="1" customWidth="1"/>
    <col min="10491" max="10493" width="9" style="318"/>
    <col min="10494" max="10494" width="20.625" style="318" bestFit="1" customWidth="1"/>
    <col min="10495" max="10495" width="9" style="318"/>
    <col min="10496" max="10496" width="2.25" style="318" customWidth="1"/>
    <col min="10497" max="10497" width="17.375" style="318" customWidth="1"/>
    <col min="10498" max="10500" width="9" style="318"/>
    <col min="10501" max="10501" width="20.625" style="318" bestFit="1" customWidth="1"/>
    <col min="10502" max="10745" width="9" style="318"/>
    <col min="10746" max="10746" width="19.25" style="318" bestFit="1" customWidth="1"/>
    <col min="10747" max="10749" width="9" style="318"/>
    <col min="10750" max="10750" width="20.625" style="318" bestFit="1" customWidth="1"/>
    <col min="10751" max="10751" width="9" style="318"/>
    <col min="10752" max="10752" width="2.25" style="318" customWidth="1"/>
    <col min="10753" max="10753" width="17.375" style="318" customWidth="1"/>
    <col min="10754" max="10756" width="9" style="318"/>
    <col min="10757" max="10757" width="20.625" style="318" bestFit="1" customWidth="1"/>
    <col min="10758" max="11001" width="9" style="318"/>
    <col min="11002" max="11002" width="19.25" style="318" bestFit="1" customWidth="1"/>
    <col min="11003" max="11005" width="9" style="318"/>
    <col min="11006" max="11006" width="20.625" style="318" bestFit="1" customWidth="1"/>
    <col min="11007" max="11007" width="9" style="318"/>
    <col min="11008" max="11008" width="2.25" style="318" customWidth="1"/>
    <col min="11009" max="11009" width="17.375" style="318" customWidth="1"/>
    <col min="11010" max="11012" width="9" style="318"/>
    <col min="11013" max="11013" width="20.625" style="318" bestFit="1" customWidth="1"/>
    <col min="11014" max="11257" width="9" style="318"/>
    <col min="11258" max="11258" width="19.25" style="318" bestFit="1" customWidth="1"/>
    <col min="11259" max="11261" width="9" style="318"/>
    <col min="11262" max="11262" width="20.625" style="318" bestFit="1" customWidth="1"/>
    <col min="11263" max="11263" width="9" style="318"/>
    <col min="11264" max="11264" width="2.25" style="318" customWidth="1"/>
    <col min="11265" max="11265" width="17.375" style="318" customWidth="1"/>
    <col min="11266" max="11268" width="9" style="318"/>
    <col min="11269" max="11269" width="20.625" style="318" bestFit="1" customWidth="1"/>
    <col min="11270" max="11513" width="9" style="318"/>
    <col min="11514" max="11514" width="19.25" style="318" bestFit="1" customWidth="1"/>
    <col min="11515" max="11517" width="9" style="318"/>
    <col min="11518" max="11518" width="20.625" style="318" bestFit="1" customWidth="1"/>
    <col min="11519" max="11519" width="9" style="318"/>
    <col min="11520" max="11520" width="2.25" style="318" customWidth="1"/>
    <col min="11521" max="11521" width="17.375" style="318" customWidth="1"/>
    <col min="11522" max="11524" width="9" style="318"/>
    <col min="11525" max="11525" width="20.625" style="318" bestFit="1" customWidth="1"/>
    <col min="11526" max="11769" width="9" style="318"/>
    <col min="11770" max="11770" width="19.25" style="318" bestFit="1" customWidth="1"/>
    <col min="11771" max="11773" width="9" style="318"/>
    <col min="11774" max="11774" width="20.625" style="318" bestFit="1" customWidth="1"/>
    <col min="11775" max="11775" width="9" style="318"/>
    <col min="11776" max="11776" width="2.25" style="318" customWidth="1"/>
    <col min="11777" max="11777" width="17.375" style="318" customWidth="1"/>
    <col min="11778" max="11780" width="9" style="318"/>
    <col min="11781" max="11781" width="20.625" style="318" bestFit="1" customWidth="1"/>
    <col min="11782" max="12025" width="9" style="318"/>
    <col min="12026" max="12026" width="19.25" style="318" bestFit="1" customWidth="1"/>
    <col min="12027" max="12029" width="9" style="318"/>
    <col min="12030" max="12030" width="20.625" style="318" bestFit="1" customWidth="1"/>
    <col min="12031" max="12031" width="9" style="318"/>
    <col min="12032" max="12032" width="2.25" style="318" customWidth="1"/>
    <col min="12033" max="12033" width="17.375" style="318" customWidth="1"/>
    <col min="12034" max="12036" width="9" style="318"/>
    <col min="12037" max="12037" width="20.625" style="318" bestFit="1" customWidth="1"/>
    <col min="12038" max="12281" width="9" style="318"/>
    <col min="12282" max="12282" width="19.25" style="318" bestFit="1" customWidth="1"/>
    <col min="12283" max="12285" width="9" style="318"/>
    <col min="12286" max="12286" width="20.625" style="318" bestFit="1" customWidth="1"/>
    <col min="12287" max="12287" width="9" style="318"/>
    <col min="12288" max="12288" width="2.25" style="318" customWidth="1"/>
    <col min="12289" max="12289" width="17.375" style="318" customWidth="1"/>
    <col min="12290" max="12292" width="9" style="318"/>
    <col min="12293" max="12293" width="20.625" style="318" bestFit="1" customWidth="1"/>
    <col min="12294" max="12537" width="9" style="318"/>
    <col min="12538" max="12538" width="19.25" style="318" bestFit="1" customWidth="1"/>
    <col min="12539" max="12541" width="9" style="318"/>
    <col min="12542" max="12542" width="20.625" style="318" bestFit="1" customWidth="1"/>
    <col min="12543" max="12543" width="9" style="318"/>
    <col min="12544" max="12544" width="2.25" style="318" customWidth="1"/>
    <col min="12545" max="12545" width="17.375" style="318" customWidth="1"/>
    <col min="12546" max="12548" width="9" style="318"/>
    <col min="12549" max="12549" width="20.625" style="318" bestFit="1" customWidth="1"/>
    <col min="12550" max="12793" width="9" style="318"/>
    <col min="12794" max="12794" width="19.25" style="318" bestFit="1" customWidth="1"/>
    <col min="12795" max="12797" width="9" style="318"/>
    <col min="12798" max="12798" width="20.625" style="318" bestFit="1" customWidth="1"/>
    <col min="12799" max="12799" width="9" style="318"/>
    <col min="12800" max="12800" width="2.25" style="318" customWidth="1"/>
    <col min="12801" max="12801" width="17.375" style="318" customWidth="1"/>
    <col min="12802" max="12804" width="9" style="318"/>
    <col min="12805" max="12805" width="20.625" style="318" bestFit="1" customWidth="1"/>
    <col min="12806" max="13049" width="9" style="318"/>
    <col min="13050" max="13050" width="19.25" style="318" bestFit="1" customWidth="1"/>
    <col min="13051" max="13053" width="9" style="318"/>
    <col min="13054" max="13054" width="20.625" style="318" bestFit="1" customWidth="1"/>
    <col min="13055" max="13055" width="9" style="318"/>
    <col min="13056" max="13056" width="2.25" style="318" customWidth="1"/>
    <col min="13057" max="13057" width="17.375" style="318" customWidth="1"/>
    <col min="13058" max="13060" width="9" style="318"/>
    <col min="13061" max="13061" width="20.625" style="318" bestFit="1" customWidth="1"/>
    <col min="13062" max="13305" width="9" style="318"/>
    <col min="13306" max="13306" width="19.25" style="318" bestFit="1" customWidth="1"/>
    <col min="13307" max="13309" width="9" style="318"/>
    <col min="13310" max="13310" width="20.625" style="318" bestFit="1" customWidth="1"/>
    <col min="13311" max="13311" width="9" style="318"/>
    <col min="13312" max="13312" width="2.25" style="318" customWidth="1"/>
    <col min="13313" max="13313" width="17.375" style="318" customWidth="1"/>
    <col min="13314" max="13316" width="9" style="318"/>
    <col min="13317" max="13317" width="20.625" style="318" bestFit="1" customWidth="1"/>
    <col min="13318" max="13561" width="9" style="318"/>
    <col min="13562" max="13562" width="19.25" style="318" bestFit="1" customWidth="1"/>
    <col min="13563" max="13565" width="9" style="318"/>
    <col min="13566" max="13566" width="20.625" style="318" bestFit="1" customWidth="1"/>
    <col min="13567" max="13567" width="9" style="318"/>
    <col min="13568" max="13568" width="2.25" style="318" customWidth="1"/>
    <col min="13569" max="13569" width="17.375" style="318" customWidth="1"/>
    <col min="13570" max="13572" width="9" style="318"/>
    <col min="13573" max="13573" width="20.625" style="318" bestFit="1" customWidth="1"/>
    <col min="13574" max="13817" width="9" style="318"/>
    <col min="13818" max="13818" width="19.25" style="318" bestFit="1" customWidth="1"/>
    <col min="13819" max="13821" width="9" style="318"/>
    <col min="13822" max="13822" width="20.625" style="318" bestFit="1" customWidth="1"/>
    <col min="13823" max="13823" width="9" style="318"/>
    <col min="13824" max="13824" width="2.25" style="318" customWidth="1"/>
    <col min="13825" max="13825" width="17.375" style="318" customWidth="1"/>
    <col min="13826" max="13828" width="9" style="318"/>
    <col min="13829" max="13829" width="20.625" style="318" bestFit="1" customWidth="1"/>
    <col min="13830" max="14073" width="9" style="318"/>
    <col min="14074" max="14074" width="19.25" style="318" bestFit="1" customWidth="1"/>
    <col min="14075" max="14077" width="9" style="318"/>
    <col min="14078" max="14078" width="20.625" style="318" bestFit="1" customWidth="1"/>
    <col min="14079" max="14079" width="9" style="318"/>
    <col min="14080" max="14080" width="2.25" style="318" customWidth="1"/>
    <col min="14081" max="14081" width="17.375" style="318" customWidth="1"/>
    <col min="14082" max="14084" width="9" style="318"/>
    <col min="14085" max="14085" width="20.625" style="318" bestFit="1" customWidth="1"/>
    <col min="14086" max="14329" width="9" style="318"/>
    <col min="14330" max="14330" width="19.25" style="318" bestFit="1" customWidth="1"/>
    <col min="14331" max="14333" width="9" style="318"/>
    <col min="14334" max="14334" width="20.625" style="318" bestFit="1" customWidth="1"/>
    <col min="14335" max="14335" width="9" style="318"/>
    <col min="14336" max="14336" width="2.25" style="318" customWidth="1"/>
    <col min="14337" max="14337" width="17.375" style="318" customWidth="1"/>
    <col min="14338" max="14340" width="9" style="318"/>
    <col min="14341" max="14341" width="20.625" style="318" bestFit="1" customWidth="1"/>
    <col min="14342" max="14585" width="9" style="318"/>
    <col min="14586" max="14586" width="19.25" style="318" bestFit="1" customWidth="1"/>
    <col min="14587" max="14589" width="9" style="318"/>
    <col min="14590" max="14590" width="20.625" style="318" bestFit="1" customWidth="1"/>
    <col min="14591" max="14591" width="9" style="318"/>
    <col min="14592" max="14592" width="2.25" style="318" customWidth="1"/>
    <col min="14593" max="14593" width="17.375" style="318" customWidth="1"/>
    <col min="14594" max="14596" width="9" style="318"/>
    <col min="14597" max="14597" width="20.625" style="318" bestFit="1" customWidth="1"/>
    <col min="14598" max="14841" width="9" style="318"/>
    <col min="14842" max="14842" width="19.25" style="318" bestFit="1" customWidth="1"/>
    <col min="14843" max="14845" width="9" style="318"/>
    <col min="14846" max="14846" width="20.625" style="318" bestFit="1" customWidth="1"/>
    <col min="14847" max="14847" width="9" style="318"/>
    <col min="14848" max="14848" width="2.25" style="318" customWidth="1"/>
    <col min="14849" max="14849" width="17.375" style="318" customWidth="1"/>
    <col min="14850" max="14852" width="9" style="318"/>
    <col min="14853" max="14853" width="20.625" style="318" bestFit="1" customWidth="1"/>
    <col min="14854" max="15097" width="9" style="318"/>
    <col min="15098" max="15098" width="19.25" style="318" bestFit="1" customWidth="1"/>
    <col min="15099" max="15101" width="9" style="318"/>
    <col min="15102" max="15102" width="20.625" style="318" bestFit="1" customWidth="1"/>
    <col min="15103" max="15103" width="9" style="318"/>
    <col min="15104" max="15104" width="2.25" style="318" customWidth="1"/>
    <col min="15105" max="15105" width="17.375" style="318" customWidth="1"/>
    <col min="15106" max="15108" width="9" style="318"/>
    <col min="15109" max="15109" width="20.625" style="318" bestFit="1" customWidth="1"/>
    <col min="15110" max="15353" width="9" style="318"/>
    <col min="15354" max="15354" width="19.25" style="318" bestFit="1" customWidth="1"/>
    <col min="15355" max="15357" width="9" style="318"/>
    <col min="15358" max="15358" width="20.625" style="318" bestFit="1" customWidth="1"/>
    <col min="15359" max="15359" width="9" style="318"/>
    <col min="15360" max="15360" width="2.25" style="318" customWidth="1"/>
    <col min="15361" max="15361" width="17.375" style="318" customWidth="1"/>
    <col min="15362" max="15364" width="9" style="318"/>
    <col min="15365" max="15365" width="20.625" style="318" bestFit="1" customWidth="1"/>
    <col min="15366" max="15609" width="9" style="318"/>
    <col min="15610" max="15610" width="19.25" style="318" bestFit="1" customWidth="1"/>
    <col min="15611" max="15613" width="9" style="318"/>
    <col min="15614" max="15614" width="20.625" style="318" bestFit="1" customWidth="1"/>
    <col min="15615" max="15615" width="9" style="318"/>
    <col min="15616" max="15616" width="2.25" style="318" customWidth="1"/>
    <col min="15617" max="15617" width="17.375" style="318" customWidth="1"/>
    <col min="15618" max="15620" width="9" style="318"/>
    <col min="15621" max="15621" width="20.625" style="318" bestFit="1" customWidth="1"/>
    <col min="15622" max="15865" width="9" style="318"/>
    <col min="15866" max="15866" width="19.25" style="318" bestFit="1" customWidth="1"/>
    <col min="15867" max="15869" width="9" style="318"/>
    <col min="15870" max="15870" width="20.625" style="318" bestFit="1" customWidth="1"/>
    <col min="15871" max="15871" width="9" style="318"/>
    <col min="15872" max="15872" width="2.25" style="318" customWidth="1"/>
    <col min="15873" max="15873" width="17.375" style="318" customWidth="1"/>
    <col min="15874" max="15876" width="9" style="318"/>
    <col min="15877" max="15877" width="20.625" style="318" bestFit="1" customWidth="1"/>
    <col min="15878" max="16121" width="9" style="318"/>
    <col min="16122" max="16122" width="19.25" style="318" bestFit="1" customWidth="1"/>
    <col min="16123" max="16125" width="9" style="318"/>
    <col min="16126" max="16126" width="20.625" style="318" bestFit="1" customWidth="1"/>
    <col min="16127" max="16127" width="9" style="318"/>
    <col min="16128" max="16128" width="2.25" style="318" customWidth="1"/>
    <col min="16129" max="16129" width="17.375" style="318" customWidth="1"/>
    <col min="16130" max="16132" width="9" style="318"/>
    <col min="16133" max="16133" width="20.625" style="318" bestFit="1" customWidth="1"/>
    <col min="16134" max="16384" width="9" style="318"/>
  </cols>
  <sheetData>
    <row r="1" spans="1:7" ht="17.25">
      <c r="A1" s="317" t="s">
        <v>1617</v>
      </c>
    </row>
    <row r="2" spans="1:7" s="321" customFormat="1" ht="15.75">
      <c r="A2" s="399" t="s">
        <v>1553</v>
      </c>
      <c r="B2" s="399"/>
      <c r="C2" s="399"/>
      <c r="D2" s="399"/>
      <c r="E2" s="399"/>
      <c r="F2" s="399"/>
    </row>
    <row r="3" spans="1:7" ht="36">
      <c r="A3" s="322" t="s">
        <v>1554</v>
      </c>
      <c r="B3" s="323" t="s">
        <v>1555</v>
      </c>
      <c r="C3" s="322" t="s">
        <v>1556</v>
      </c>
      <c r="D3" s="323" t="s">
        <v>1557</v>
      </c>
      <c r="E3" s="322" t="s">
        <v>1558</v>
      </c>
      <c r="F3" s="322" t="s">
        <v>1559</v>
      </c>
      <c r="G3" s="324"/>
    </row>
    <row r="4" spans="1:7">
      <c r="A4" s="325" t="s">
        <v>1560</v>
      </c>
      <c r="B4" s="325" t="s">
        <v>1561</v>
      </c>
      <c r="C4" s="325" t="s">
        <v>1560</v>
      </c>
      <c r="D4" s="325">
        <v>0</v>
      </c>
      <c r="E4" s="325" t="s">
        <v>1560</v>
      </c>
      <c r="F4" s="326" t="s">
        <v>54</v>
      </c>
      <c r="G4" s="324"/>
    </row>
    <row r="5" spans="1:7">
      <c r="A5" s="322" t="s">
        <v>1560</v>
      </c>
      <c r="B5" s="322" t="s">
        <v>1561</v>
      </c>
      <c r="C5" s="322" t="s">
        <v>823</v>
      </c>
      <c r="D5" s="322" t="s">
        <v>50</v>
      </c>
      <c r="E5" s="322" t="s">
        <v>1562</v>
      </c>
      <c r="F5" s="326" t="s">
        <v>35</v>
      </c>
      <c r="G5" s="324"/>
    </row>
    <row r="6" spans="1:7">
      <c r="A6" s="322" t="s">
        <v>640</v>
      </c>
      <c r="B6" s="322" t="s">
        <v>1563</v>
      </c>
      <c r="C6" s="322" t="s">
        <v>823</v>
      </c>
      <c r="D6" s="322" t="s">
        <v>1564</v>
      </c>
      <c r="E6" s="322" t="s">
        <v>640</v>
      </c>
      <c r="F6" s="326" t="s">
        <v>41</v>
      </c>
      <c r="G6" s="324"/>
    </row>
    <row r="7" spans="1:7">
      <c r="A7" s="322" t="s">
        <v>1565</v>
      </c>
      <c r="B7" s="322" t="s">
        <v>1566</v>
      </c>
      <c r="C7" s="322" t="s">
        <v>823</v>
      </c>
      <c r="D7" s="322" t="s">
        <v>1564</v>
      </c>
      <c r="E7" s="322" t="s">
        <v>1565</v>
      </c>
      <c r="F7" s="326" t="s">
        <v>49</v>
      </c>
      <c r="G7" s="324"/>
    </row>
    <row r="8" spans="1:7">
      <c r="A8" s="322" t="s">
        <v>1567</v>
      </c>
      <c r="B8" s="322" t="s">
        <v>1568</v>
      </c>
      <c r="C8" s="322" t="s">
        <v>823</v>
      </c>
      <c r="D8" s="322" t="s">
        <v>1564</v>
      </c>
      <c r="E8" s="322" t="s">
        <v>1567</v>
      </c>
      <c r="F8" s="326" t="s">
        <v>25</v>
      </c>
      <c r="G8" s="324"/>
    </row>
    <row r="9" spans="1:7">
      <c r="A9" s="329" t="s">
        <v>1569</v>
      </c>
      <c r="B9" s="329" t="s">
        <v>1570</v>
      </c>
      <c r="C9" s="329" t="s">
        <v>823</v>
      </c>
      <c r="D9" s="329" t="s">
        <v>1564</v>
      </c>
      <c r="E9" s="329" t="s">
        <v>1569</v>
      </c>
      <c r="F9" s="331" t="s">
        <v>33</v>
      </c>
      <c r="G9" s="324"/>
    </row>
    <row r="10" spans="1:7">
      <c r="A10" s="329" t="s">
        <v>1571</v>
      </c>
      <c r="B10" s="329" t="s">
        <v>1572</v>
      </c>
      <c r="C10" s="329" t="s">
        <v>823</v>
      </c>
      <c r="D10" s="329" t="s">
        <v>1564</v>
      </c>
      <c r="E10" s="329" t="s">
        <v>1571</v>
      </c>
      <c r="F10" s="331" t="s">
        <v>1573</v>
      </c>
      <c r="G10" s="324"/>
    </row>
    <row r="11" spans="1:7">
      <c r="A11" s="329" t="s">
        <v>1560</v>
      </c>
      <c r="B11" s="329" t="s">
        <v>1561</v>
      </c>
      <c r="C11" s="329" t="s">
        <v>793</v>
      </c>
      <c r="D11" s="329" t="s">
        <v>1574</v>
      </c>
      <c r="E11" s="329" t="s">
        <v>1575</v>
      </c>
      <c r="F11" s="331" t="s">
        <v>79</v>
      </c>
      <c r="G11" s="324"/>
    </row>
    <row r="12" spans="1:7">
      <c r="A12" s="329" t="s">
        <v>640</v>
      </c>
      <c r="B12" s="329" t="s">
        <v>1563</v>
      </c>
      <c r="C12" s="329" t="s">
        <v>793</v>
      </c>
      <c r="D12" s="329" t="s">
        <v>1574</v>
      </c>
      <c r="E12" s="329" t="s">
        <v>640</v>
      </c>
      <c r="F12" s="331" t="s">
        <v>82</v>
      </c>
      <c r="G12" s="324"/>
    </row>
    <row r="13" spans="1:7" ht="12.75" customHeight="1">
      <c r="A13" s="329" t="s">
        <v>640</v>
      </c>
      <c r="B13" s="329" t="s">
        <v>1563</v>
      </c>
      <c r="C13" s="329" t="s">
        <v>1576</v>
      </c>
      <c r="D13" s="329">
        <v>3</v>
      </c>
      <c r="E13" s="329" t="s">
        <v>640</v>
      </c>
      <c r="F13" s="331" t="s">
        <v>95</v>
      </c>
      <c r="G13" s="324"/>
    </row>
    <row r="14" spans="1:7">
      <c r="A14" s="329" t="s">
        <v>1560</v>
      </c>
      <c r="B14" s="329" t="s">
        <v>1561</v>
      </c>
      <c r="C14" s="329" t="s">
        <v>783</v>
      </c>
      <c r="D14" s="329" t="s">
        <v>1577</v>
      </c>
      <c r="E14" s="329" t="s">
        <v>1578</v>
      </c>
      <c r="F14" s="331" t="s">
        <v>93</v>
      </c>
      <c r="G14" s="324"/>
    </row>
    <row r="15" spans="1:7">
      <c r="A15" s="329" t="s">
        <v>640</v>
      </c>
      <c r="B15" s="329" t="s">
        <v>1563</v>
      </c>
      <c r="C15" s="329" t="s">
        <v>783</v>
      </c>
      <c r="D15" s="329" t="s">
        <v>1577</v>
      </c>
      <c r="E15" s="329" t="s">
        <v>640</v>
      </c>
      <c r="F15" s="331" t="s">
        <v>48</v>
      </c>
      <c r="G15" s="324"/>
    </row>
    <row r="16" spans="1:7">
      <c r="A16" s="329" t="s">
        <v>1560</v>
      </c>
      <c r="B16" s="329" t="s">
        <v>1561</v>
      </c>
      <c r="C16" s="329" t="s">
        <v>638</v>
      </c>
      <c r="D16" s="329" t="s">
        <v>1579</v>
      </c>
      <c r="E16" s="329" t="s">
        <v>1580</v>
      </c>
      <c r="F16" s="331" t="s">
        <v>89</v>
      </c>
      <c r="G16" s="324"/>
    </row>
    <row r="17" spans="1:7">
      <c r="A17" s="329" t="s">
        <v>1581</v>
      </c>
      <c r="B17" s="329" t="s">
        <v>1563</v>
      </c>
      <c r="C17" s="329" t="s">
        <v>638</v>
      </c>
      <c r="D17" s="329" t="s">
        <v>1579</v>
      </c>
      <c r="E17" s="329" t="s">
        <v>1582</v>
      </c>
      <c r="F17" s="331" t="s">
        <v>78</v>
      </c>
      <c r="G17" s="324"/>
    </row>
    <row r="18" spans="1:7">
      <c r="A18" s="329" t="s">
        <v>1560</v>
      </c>
      <c r="B18" s="329" t="s">
        <v>92</v>
      </c>
      <c r="C18" s="329" t="s">
        <v>1583</v>
      </c>
      <c r="D18" s="329" t="s">
        <v>1584</v>
      </c>
      <c r="E18" s="329" t="s">
        <v>1583</v>
      </c>
      <c r="F18" s="331" t="s">
        <v>1585</v>
      </c>
      <c r="G18" s="324"/>
    </row>
    <row r="19" spans="1:7">
      <c r="A19" s="329" t="s">
        <v>639</v>
      </c>
      <c r="B19" s="329" t="s">
        <v>1563</v>
      </c>
      <c r="C19" s="329" t="s">
        <v>1583</v>
      </c>
      <c r="D19" s="329" t="s">
        <v>1584</v>
      </c>
      <c r="E19" s="329" t="s">
        <v>1583</v>
      </c>
      <c r="F19" s="331" t="s">
        <v>1586</v>
      </c>
      <c r="G19" s="324"/>
    </row>
    <row r="20" spans="1:7">
      <c r="A20" s="329" t="s">
        <v>1560</v>
      </c>
      <c r="B20" s="329" t="s">
        <v>1561</v>
      </c>
      <c r="C20" s="330" t="s">
        <v>1587</v>
      </c>
      <c r="D20" s="330" t="s">
        <v>1588</v>
      </c>
      <c r="E20" s="330" t="s">
        <v>1587</v>
      </c>
      <c r="F20" s="331" t="s">
        <v>129</v>
      </c>
      <c r="G20" s="324"/>
    </row>
    <row r="21" spans="1:7">
      <c r="A21" s="330" t="s">
        <v>365</v>
      </c>
      <c r="B21" s="330" t="s">
        <v>1563</v>
      </c>
      <c r="C21" s="330" t="s">
        <v>1587</v>
      </c>
      <c r="D21" s="330" t="s">
        <v>1588</v>
      </c>
      <c r="E21" s="330" t="s">
        <v>365</v>
      </c>
      <c r="F21" s="331" t="s">
        <v>20</v>
      </c>
      <c r="G21" s="324"/>
    </row>
    <row r="22" spans="1:7">
      <c r="A22" s="329" t="s">
        <v>593</v>
      </c>
      <c r="B22" s="330" t="s">
        <v>84</v>
      </c>
      <c r="C22" s="330" t="s">
        <v>1587</v>
      </c>
      <c r="D22" s="330" t="s">
        <v>1588</v>
      </c>
      <c r="E22" s="329" t="s">
        <v>593</v>
      </c>
      <c r="F22" s="331" t="s">
        <v>44</v>
      </c>
      <c r="G22" s="324"/>
    </row>
    <row r="23" spans="1:7">
      <c r="A23" s="329" t="s">
        <v>380</v>
      </c>
      <c r="B23" s="330" t="s">
        <v>107</v>
      </c>
      <c r="C23" s="330" t="s">
        <v>1587</v>
      </c>
      <c r="D23" s="330" t="s">
        <v>1588</v>
      </c>
      <c r="E23" s="329" t="s">
        <v>380</v>
      </c>
      <c r="F23" s="331" t="s">
        <v>115</v>
      </c>
      <c r="G23" s="324"/>
    </row>
    <row r="24" spans="1:7">
      <c r="A24" s="329" t="s">
        <v>376</v>
      </c>
      <c r="B24" s="330" t="s">
        <v>34</v>
      </c>
      <c r="C24" s="330" t="s">
        <v>1587</v>
      </c>
      <c r="D24" s="330" t="s">
        <v>1588</v>
      </c>
      <c r="E24" s="329" t="s">
        <v>376</v>
      </c>
      <c r="F24" s="331" t="s">
        <v>94</v>
      </c>
      <c r="G24" s="324"/>
    </row>
    <row r="25" spans="1:7">
      <c r="A25" s="329" t="s">
        <v>372</v>
      </c>
      <c r="B25" s="330" t="s">
        <v>38</v>
      </c>
      <c r="C25" s="330" t="s">
        <v>1587</v>
      </c>
      <c r="D25" s="330" t="s">
        <v>1588</v>
      </c>
      <c r="E25" s="329" t="s">
        <v>372</v>
      </c>
      <c r="F25" s="331" t="s">
        <v>112</v>
      </c>
      <c r="G25" s="324"/>
    </row>
    <row r="26" spans="1:7" ht="36">
      <c r="A26" s="329" t="s">
        <v>1589</v>
      </c>
      <c r="B26" s="330" t="s">
        <v>18</v>
      </c>
      <c r="C26" s="330" t="s">
        <v>1587</v>
      </c>
      <c r="D26" s="330" t="s">
        <v>1588</v>
      </c>
      <c r="E26" s="329" t="s">
        <v>1589</v>
      </c>
      <c r="F26" s="331" t="s">
        <v>101</v>
      </c>
      <c r="G26" s="324"/>
    </row>
    <row r="27" spans="1:7">
      <c r="A27" s="346" t="s">
        <v>1590</v>
      </c>
      <c r="B27" s="347" t="s">
        <v>88</v>
      </c>
      <c r="C27" s="347" t="s">
        <v>1587</v>
      </c>
      <c r="D27" s="347" t="s">
        <v>1588</v>
      </c>
      <c r="E27" s="346" t="s">
        <v>1590</v>
      </c>
      <c r="F27" s="348" t="s">
        <v>75</v>
      </c>
      <c r="G27" s="324"/>
    </row>
    <row r="28" spans="1:7">
      <c r="A28" s="329" t="s">
        <v>901</v>
      </c>
      <c r="B28" s="330" t="s">
        <v>85</v>
      </c>
      <c r="C28" s="330" t="s">
        <v>1587</v>
      </c>
      <c r="D28" s="330" t="s">
        <v>1588</v>
      </c>
      <c r="E28" s="329" t="s">
        <v>901</v>
      </c>
      <c r="F28" s="331" t="s">
        <v>98</v>
      </c>
      <c r="G28" s="324"/>
    </row>
    <row r="29" spans="1:7" ht="24">
      <c r="A29" s="329" t="s">
        <v>1591</v>
      </c>
      <c r="B29" s="330" t="s">
        <v>91</v>
      </c>
      <c r="C29" s="330" t="s">
        <v>1587</v>
      </c>
      <c r="D29" s="330" t="s">
        <v>1588</v>
      </c>
      <c r="E29" s="329" t="s">
        <v>1591</v>
      </c>
      <c r="F29" s="331" t="s">
        <v>77</v>
      </c>
      <c r="G29" s="324"/>
    </row>
    <row r="30" spans="1:7" ht="24" customHeight="1">
      <c r="A30" s="329" t="s">
        <v>1592</v>
      </c>
      <c r="B30" s="330" t="s">
        <v>109</v>
      </c>
      <c r="C30" s="330" t="s">
        <v>1587</v>
      </c>
      <c r="D30" s="330" t="s">
        <v>1588</v>
      </c>
      <c r="E30" s="329" t="s">
        <v>1592</v>
      </c>
      <c r="F30" s="331" t="s">
        <v>105</v>
      </c>
      <c r="G30" s="324"/>
    </row>
    <row r="31" spans="1:7">
      <c r="A31" s="329" t="s">
        <v>547</v>
      </c>
      <c r="B31" s="330" t="s">
        <v>104</v>
      </c>
      <c r="C31" s="330" t="s">
        <v>1587</v>
      </c>
      <c r="D31" s="330" t="s">
        <v>1588</v>
      </c>
      <c r="E31" s="329" t="s">
        <v>1593</v>
      </c>
      <c r="F31" s="331" t="s">
        <v>110</v>
      </c>
      <c r="G31" s="324"/>
    </row>
    <row r="32" spans="1:7">
      <c r="A32" s="329" t="s">
        <v>573</v>
      </c>
      <c r="B32" s="330" t="s">
        <v>87</v>
      </c>
      <c r="C32" s="330" t="s">
        <v>1587</v>
      </c>
      <c r="D32" s="330" t="s">
        <v>1588</v>
      </c>
      <c r="E32" s="329" t="s">
        <v>573</v>
      </c>
      <c r="F32" s="331" t="s">
        <v>113</v>
      </c>
      <c r="G32" s="324"/>
    </row>
    <row r="33" spans="1:7">
      <c r="A33" s="346" t="s">
        <v>1594</v>
      </c>
      <c r="B33" s="347" t="s">
        <v>1595</v>
      </c>
      <c r="C33" s="347" t="s">
        <v>1587</v>
      </c>
      <c r="D33" s="347" t="s">
        <v>1588</v>
      </c>
      <c r="E33" s="346" t="s">
        <v>1594</v>
      </c>
      <c r="F33" s="348" t="s">
        <v>140</v>
      </c>
      <c r="G33" s="324"/>
    </row>
    <row r="34" spans="1:7" ht="12.75" customHeight="1">
      <c r="A34" s="346" t="s">
        <v>554</v>
      </c>
      <c r="B34" s="346" t="s">
        <v>1570</v>
      </c>
      <c r="C34" s="347" t="s">
        <v>1661</v>
      </c>
      <c r="D34" s="346">
        <v>4</v>
      </c>
      <c r="E34" s="346" t="s">
        <v>554</v>
      </c>
      <c r="F34" s="348" t="s">
        <v>40</v>
      </c>
      <c r="G34" s="324"/>
    </row>
    <row r="35" spans="1:7" ht="27.75" customHeight="1">
      <c r="A35" s="346" t="s">
        <v>561</v>
      </c>
      <c r="B35" s="346" t="s">
        <v>1572</v>
      </c>
      <c r="C35" s="346" t="s">
        <v>1596</v>
      </c>
      <c r="D35" s="346">
        <v>4</v>
      </c>
      <c r="E35" s="346" t="s">
        <v>561</v>
      </c>
      <c r="F35" s="348" t="s">
        <v>118</v>
      </c>
      <c r="G35" s="324"/>
    </row>
    <row r="36" spans="1:7" ht="27" customHeight="1">
      <c r="A36" s="346" t="s">
        <v>712</v>
      </c>
      <c r="B36" s="346">
        <v>12</v>
      </c>
      <c r="C36" s="346" t="s">
        <v>715</v>
      </c>
      <c r="D36" s="346">
        <v>6</v>
      </c>
      <c r="E36" s="346" t="s">
        <v>712</v>
      </c>
      <c r="F36" s="348" t="s">
        <v>45</v>
      </c>
      <c r="G36" s="324"/>
    </row>
    <row r="37" spans="1:7" ht="36" customHeight="1">
      <c r="A37" s="346" t="s">
        <v>705</v>
      </c>
      <c r="B37" s="346">
        <v>15</v>
      </c>
      <c r="C37" s="346" t="s">
        <v>1596</v>
      </c>
      <c r="D37" s="346">
        <v>4</v>
      </c>
      <c r="E37" s="346" t="s">
        <v>705</v>
      </c>
      <c r="F37" s="348" t="s">
        <v>52</v>
      </c>
      <c r="G37" s="324"/>
    </row>
    <row r="38" spans="1:7">
      <c r="A38" s="329" t="s">
        <v>388</v>
      </c>
      <c r="B38" s="330" t="s">
        <v>1597</v>
      </c>
      <c r="C38" s="330" t="s">
        <v>1587</v>
      </c>
      <c r="D38" s="330" t="s">
        <v>1588</v>
      </c>
      <c r="E38" s="329" t="s">
        <v>388</v>
      </c>
      <c r="F38" s="331" t="s">
        <v>73</v>
      </c>
      <c r="G38" s="324"/>
    </row>
    <row r="39" spans="1:7">
      <c r="A39" s="329" t="s">
        <v>1598</v>
      </c>
      <c r="B39" s="330" t="s">
        <v>1599</v>
      </c>
      <c r="C39" s="330" t="s">
        <v>1587</v>
      </c>
      <c r="D39" s="330" t="s">
        <v>1588</v>
      </c>
      <c r="E39" s="329" t="s">
        <v>1598</v>
      </c>
      <c r="F39" s="331" t="s">
        <v>99</v>
      </c>
      <c r="G39" s="324"/>
    </row>
    <row r="40" spans="1:7">
      <c r="A40" s="329" t="s">
        <v>537</v>
      </c>
      <c r="B40" s="330" t="s">
        <v>1600</v>
      </c>
      <c r="C40" s="330" t="s">
        <v>1587</v>
      </c>
      <c r="D40" s="330" t="s">
        <v>1588</v>
      </c>
      <c r="E40" s="329" t="s">
        <v>537</v>
      </c>
      <c r="F40" s="331" t="s">
        <v>102</v>
      </c>
      <c r="G40" s="324"/>
    </row>
    <row r="41" spans="1:7">
      <c r="A41" s="349" t="s">
        <v>1662</v>
      </c>
      <c r="B41" s="350">
        <v>17</v>
      </c>
      <c r="C41" s="330" t="s">
        <v>1587</v>
      </c>
      <c r="D41" s="350" t="s">
        <v>1663</v>
      </c>
      <c r="E41" s="349" t="s">
        <v>1662</v>
      </c>
      <c r="F41" s="349" t="s">
        <v>1664</v>
      </c>
      <c r="G41" s="324"/>
    </row>
    <row r="42" spans="1:7">
      <c r="A42" s="329" t="s">
        <v>1560</v>
      </c>
      <c r="B42" s="329" t="s">
        <v>1561</v>
      </c>
      <c r="C42" s="329" t="s">
        <v>46</v>
      </c>
      <c r="D42" s="329" t="s">
        <v>1601</v>
      </c>
      <c r="E42" s="329" t="s">
        <v>1602</v>
      </c>
      <c r="F42" s="331" t="s">
        <v>131</v>
      </c>
      <c r="G42" s="324"/>
    </row>
    <row r="43" spans="1:7">
      <c r="A43" s="329" t="s">
        <v>803</v>
      </c>
      <c r="B43" s="329" t="s">
        <v>1563</v>
      </c>
      <c r="C43" s="329" t="s">
        <v>46</v>
      </c>
      <c r="D43" s="329" t="s">
        <v>1601</v>
      </c>
      <c r="E43" s="329" t="s">
        <v>46</v>
      </c>
      <c r="F43" s="331" t="s">
        <v>100</v>
      </c>
      <c r="G43" s="324"/>
    </row>
    <row r="44" spans="1:7">
      <c r="A44" s="346" t="s">
        <v>1603</v>
      </c>
      <c r="B44" s="346" t="s">
        <v>1566</v>
      </c>
      <c r="C44" s="346" t="s">
        <v>803</v>
      </c>
      <c r="D44" s="346">
        <v>7</v>
      </c>
      <c r="E44" s="346" t="s">
        <v>1603</v>
      </c>
      <c r="F44" s="331" t="s">
        <v>97</v>
      </c>
      <c r="G44" s="324"/>
    </row>
    <row r="45" spans="1:7" ht="24">
      <c r="A45" s="329" t="s">
        <v>1560</v>
      </c>
      <c r="B45" s="329" t="s">
        <v>1561</v>
      </c>
      <c r="C45" s="329" t="s">
        <v>371</v>
      </c>
      <c r="D45" s="329" t="s">
        <v>1604</v>
      </c>
      <c r="E45" s="329" t="s">
        <v>1605</v>
      </c>
      <c r="F45" s="331" t="s">
        <v>106</v>
      </c>
      <c r="G45" s="324"/>
    </row>
    <row r="46" spans="1:7" ht="24">
      <c r="A46" s="329" t="s">
        <v>803</v>
      </c>
      <c r="B46" s="329" t="s">
        <v>1563</v>
      </c>
      <c r="C46" s="329" t="s">
        <v>371</v>
      </c>
      <c r="D46" s="329" t="s">
        <v>1604</v>
      </c>
      <c r="E46" s="329" t="s">
        <v>1606</v>
      </c>
      <c r="F46" s="331" t="s">
        <v>117</v>
      </c>
      <c r="G46" s="324"/>
    </row>
    <row r="47" spans="1:7" ht="24">
      <c r="A47" s="327" t="s">
        <v>1607</v>
      </c>
      <c r="B47" s="327" t="s">
        <v>1566</v>
      </c>
      <c r="C47" s="327" t="s">
        <v>1608</v>
      </c>
      <c r="D47" s="327" t="s">
        <v>1609</v>
      </c>
      <c r="E47" s="327" t="s">
        <v>1607</v>
      </c>
      <c r="F47" s="328" t="s">
        <v>96</v>
      </c>
      <c r="G47" s="324"/>
    </row>
    <row r="48" spans="1:7">
      <c r="A48" s="322" t="s">
        <v>1560</v>
      </c>
      <c r="B48" s="322" t="s">
        <v>1561</v>
      </c>
      <c r="C48" s="322" t="s">
        <v>1610</v>
      </c>
      <c r="D48" s="322" t="s">
        <v>1611</v>
      </c>
      <c r="E48" s="322" t="s">
        <v>1610</v>
      </c>
      <c r="F48" s="326" t="s">
        <v>76</v>
      </c>
      <c r="G48" s="324"/>
    </row>
    <row r="49" spans="1:7">
      <c r="A49" s="322" t="s">
        <v>1612</v>
      </c>
      <c r="B49" s="322" t="s">
        <v>1563</v>
      </c>
      <c r="C49" s="322" t="s">
        <v>1610</v>
      </c>
      <c r="D49" s="322" t="s">
        <v>1611</v>
      </c>
      <c r="E49" s="322" t="s">
        <v>1612</v>
      </c>
      <c r="F49" s="326" t="s">
        <v>111</v>
      </c>
      <c r="G49" s="324"/>
    </row>
    <row r="50" spans="1:7">
      <c r="A50" s="322" t="s">
        <v>1560</v>
      </c>
      <c r="B50" s="322" t="s">
        <v>1561</v>
      </c>
      <c r="C50" s="322" t="s">
        <v>1608</v>
      </c>
      <c r="D50" s="322" t="s">
        <v>1609</v>
      </c>
      <c r="E50" s="322" t="s">
        <v>1608</v>
      </c>
      <c r="F50" s="326" t="s">
        <v>74</v>
      </c>
      <c r="G50" s="324"/>
    </row>
    <row r="51" spans="1:7" ht="12.75" customHeight="1">
      <c r="A51" s="322" t="s">
        <v>1613</v>
      </c>
      <c r="B51" s="322" t="s">
        <v>1563</v>
      </c>
      <c r="C51" s="322" t="s">
        <v>1608</v>
      </c>
      <c r="D51" s="322" t="s">
        <v>1609</v>
      </c>
      <c r="E51" s="322" t="s">
        <v>1613</v>
      </c>
      <c r="F51" s="326" t="s">
        <v>130</v>
      </c>
      <c r="G51" s="324"/>
    </row>
    <row r="52" spans="1:7">
      <c r="A52" s="322" t="s">
        <v>1614</v>
      </c>
      <c r="B52" s="322" t="s">
        <v>1615</v>
      </c>
      <c r="C52" s="322" t="s">
        <v>1616</v>
      </c>
      <c r="D52" s="322">
        <v>7</v>
      </c>
      <c r="E52" s="322" t="s">
        <v>282</v>
      </c>
      <c r="F52" s="326" t="s">
        <v>83</v>
      </c>
      <c r="G52" s="324"/>
    </row>
    <row r="53" spans="1:7">
      <c r="A53" s="322" t="s">
        <v>791</v>
      </c>
      <c r="B53" s="322">
        <v>90</v>
      </c>
      <c r="C53" s="322" t="s">
        <v>791</v>
      </c>
      <c r="D53" s="322">
        <v>9</v>
      </c>
      <c r="E53" s="322" t="s">
        <v>791</v>
      </c>
      <c r="F53" s="326" t="s">
        <v>141</v>
      </c>
    </row>
  </sheetData>
  <mergeCells count="1">
    <mergeCell ref="A2:F2"/>
  </mergeCells>
  <phoneticPr fontId="29" type="noConversion"/>
  <conditionalFormatting sqref="F54:F65538">
    <cfRule type="duplicateValues" dxfId="15" priority="29" stopIfTrue="1"/>
  </conditionalFormatting>
  <conditionalFormatting sqref="F2">
    <cfRule type="duplicateValues" dxfId="14" priority="15" stopIfTrue="1"/>
  </conditionalFormatting>
  <conditionalFormatting sqref="F50">
    <cfRule type="duplicateValues" dxfId="13" priority="3" stopIfTrue="1"/>
  </conditionalFormatting>
  <conditionalFormatting sqref="F3">
    <cfRule type="duplicateValues" dxfId="12" priority="14" stopIfTrue="1"/>
  </conditionalFormatting>
  <conditionalFormatting sqref="F11">
    <cfRule type="duplicateValues" dxfId="11" priority="12" stopIfTrue="1"/>
  </conditionalFormatting>
  <conditionalFormatting sqref="F14">
    <cfRule type="duplicateValues" dxfId="10" priority="11" stopIfTrue="1"/>
  </conditionalFormatting>
  <conditionalFormatting sqref="F16">
    <cfRule type="duplicateValues" dxfId="9" priority="10" stopIfTrue="1"/>
  </conditionalFormatting>
  <conditionalFormatting sqref="F18">
    <cfRule type="duplicateValues" dxfId="8" priority="9" stopIfTrue="1"/>
  </conditionalFormatting>
  <conditionalFormatting sqref="F19">
    <cfRule type="duplicateValues" dxfId="7" priority="8" stopIfTrue="1"/>
  </conditionalFormatting>
  <conditionalFormatting sqref="F43:F44 F21:F40 F4:F9 F12:F13 F15 F17 F46:F47 F49 F51:F53">
    <cfRule type="duplicateValues" dxfId="6" priority="13" stopIfTrue="1"/>
  </conditionalFormatting>
  <conditionalFormatting sqref="F20">
    <cfRule type="duplicateValues" dxfId="5" priority="7" stopIfTrue="1"/>
  </conditionalFormatting>
  <conditionalFormatting sqref="F42">
    <cfRule type="duplicateValues" dxfId="4" priority="6" stopIfTrue="1"/>
  </conditionalFormatting>
  <conditionalFormatting sqref="F45">
    <cfRule type="duplicateValues" dxfId="3" priority="5" stopIfTrue="1"/>
  </conditionalFormatting>
  <conditionalFormatting sqref="F48">
    <cfRule type="duplicateValues" dxfId="2" priority="4" stopIfTrue="1"/>
  </conditionalFormatting>
  <conditionalFormatting sqref="F10">
    <cfRule type="duplicateValues" dxfId="1" priority="2" stopIfTrue="1"/>
  </conditionalFormatting>
  <conditionalFormatting sqref="F41">
    <cfRule type="duplicateValues" dxfId="0" priority="1" stopIfTrue="1"/>
  </conditionalFormatting>
  <pageMargins left="0.69972223043441772" right="0.69972223043441772" top="0.75" bottom="0.75" header="0.30000001192092896" footer="0.30000001192092896"/>
  <pageSetup paperSize="9" fitToWidth="0" fitToHeight="0" orientation="portrait" r:id="rId1"/>
</worksheet>
</file>

<file path=docProps/app.xml><?xml version="1.0" encoding="utf-8"?>
<Properties xmlns="http://schemas.openxmlformats.org/officeDocument/2006/extended-properties" xmlns:vt="http://schemas.openxmlformats.org/officeDocument/2006/docPropsVTypes">
  <TotalTime>1458</TotalTime>
  <Application>Microsoft Excel</Application>
  <DocSecurity>0</DocSecurity>
  <ScaleCrop>false</ScaleCrop>
  <HeadingPairs>
    <vt:vector size="4" baseType="variant">
      <vt:variant>
        <vt:lpstr>워크시트</vt:lpstr>
      </vt:variant>
      <vt:variant>
        <vt:i4>6</vt:i4>
      </vt:variant>
      <vt:variant>
        <vt:lpstr>이름이 지정된 범위</vt:lpstr>
      </vt:variant>
      <vt:variant>
        <vt:i4>51</vt:i4>
      </vt:variant>
    </vt:vector>
  </HeadingPairs>
  <TitlesOfParts>
    <vt:vector size="57" baseType="lpstr">
      <vt:lpstr>Title</vt:lpstr>
      <vt:lpstr>History</vt:lpstr>
      <vt:lpstr>Message List</vt:lpstr>
      <vt:lpstr>SPEC Details</vt:lpstr>
      <vt:lpstr>Multicast IP &amp; Port</vt:lpstr>
      <vt:lpstr>Data&amp;Info Type Code</vt:lpstr>
      <vt:lpstr>'SPEC Details'!_C1077</vt:lpstr>
      <vt:lpstr>'SPEC Details'!_C702S</vt:lpstr>
      <vt:lpstr>'SPEC Details'!A0013_</vt:lpstr>
      <vt:lpstr>'SPEC Details'!A2013_</vt:lpstr>
      <vt:lpstr>'SPEC Details'!A3013_</vt:lpstr>
      <vt:lpstr>'SPEC Details'!A6013_</vt:lpstr>
      <vt:lpstr>'SPEC Details'!A7013_</vt:lpstr>
      <vt:lpstr>'SPEC Details'!BV03S</vt:lpstr>
      <vt:lpstr>'SPEC Details'!BW03S</vt:lpstr>
      <vt:lpstr>'SPEC Details'!E2000_</vt:lpstr>
      <vt:lpstr>'SPEC Details'!E9013_</vt:lpstr>
      <vt:lpstr>'SPEC Details'!F101S</vt:lpstr>
      <vt:lpstr>'SPEC Details'!F201S</vt:lpstr>
      <vt:lpstr>'SPEC Details'!F301S</vt:lpstr>
      <vt:lpstr>'SPEC Details'!F401S</vt:lpstr>
      <vt:lpstr>'SPEC Details'!F501S</vt:lpstr>
      <vt:lpstr>'SPEC Details'!F601S</vt:lpstr>
      <vt:lpstr>'SPEC Details'!F803S</vt:lpstr>
      <vt:lpstr>'SPEC Details'!G5013_</vt:lpstr>
      <vt:lpstr>'SPEC Details'!H8000_</vt:lpstr>
      <vt:lpstr>'SPEC Details'!H8000_D</vt:lpstr>
      <vt:lpstr>'SPEC Details'!H8000_E</vt:lpstr>
      <vt:lpstr>'SPEC Details'!H8000_L</vt:lpstr>
      <vt:lpstr>'SPEC Details'!J5077_</vt:lpstr>
      <vt:lpstr>'SPEC Details'!J6077_</vt:lpstr>
      <vt:lpstr>'SPEC Details'!J7077_</vt:lpstr>
      <vt:lpstr>'SPEC Details'!J8077_HO0</vt:lpstr>
      <vt:lpstr>'SPEC Details'!J8077_NH0</vt:lpstr>
      <vt:lpstr>'SPEC Details'!J8077_SI0</vt:lpstr>
      <vt:lpstr>'SPEC Details'!K0000_</vt:lpstr>
      <vt:lpstr>'SPEC Details'!K6000_</vt:lpstr>
      <vt:lpstr>'SPEC Details'!L503S</vt:lpstr>
      <vt:lpstr>'SPEC Details'!L6000_</vt:lpstr>
      <vt:lpstr>'SPEC Details'!L9077_</vt:lpstr>
      <vt:lpstr>'SPEC Details'!M803S</vt:lpstr>
      <vt:lpstr>'SPEC Details'!N302S</vt:lpstr>
      <vt:lpstr>'SPEC Details'!N803S</vt:lpstr>
      <vt:lpstr>'SPEC Details'!P3000_</vt:lpstr>
      <vt:lpstr>'SPEC Details'!P603S</vt:lpstr>
      <vt:lpstr>'SPEC Details'!P703S</vt:lpstr>
      <vt:lpstr>'Message List'!Print_Area</vt:lpstr>
      <vt:lpstr>'SPEC Details'!Print_Area</vt:lpstr>
      <vt:lpstr>Title!Print_Area</vt:lpstr>
      <vt:lpstr>History!Print_Titles</vt:lpstr>
      <vt:lpstr>'SPEC Details'!Q403S</vt:lpstr>
      <vt:lpstr>'SPEC Details'!Q503S</vt:lpstr>
      <vt:lpstr>'SPEC Details'!Q6000_</vt:lpstr>
      <vt:lpstr>'SPEC Details'!S104S</vt:lpstr>
      <vt:lpstr>'SPEC Details'!S204S</vt:lpstr>
      <vt:lpstr>'SPEC Details'!S304S</vt:lpstr>
      <vt:lpstr>'SPEC Details'!X404S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KOSCOM</cp:lastModifiedBy>
  <cp:revision>85</cp:revision>
  <dcterms:created xsi:type="dcterms:W3CDTF">2021-07-15T11:22:06Z</dcterms:created>
  <dcterms:modified xsi:type="dcterms:W3CDTF">2026-06-12T07:14:27Z</dcterms:modified>
  <cp:version>0906.0200.01</cp:version>
</cp:coreProperties>
</file>